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3b7410b50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7572711edaf6471d"/>
    <x:sheet xmlns:r="http://schemas.openxmlformats.org/officeDocument/2006/relationships" name="Unit_Calculator" sheetId="2" r:id="R7e29b2c42a07431b"/>
    <x:sheet xmlns:r="http://schemas.openxmlformats.org/officeDocument/2006/relationships" name="SC2_Benchmark" sheetId="3" r:id="R6d2446defafb473e"/>
    <x:sheet xmlns:r="http://schemas.openxmlformats.org/officeDocument/2006/relationships" name="Readme" sheetId="4" r:id="R692de02d03da4ecc"/>
    <x:sheet xmlns:r="http://schemas.openxmlformats.org/officeDocument/2006/relationships" name="V2_Dashboard" sheetId="5" r:id="R413ca799c76a41c0"/>
    <x:sheet xmlns:r="http://schemas.openxmlformats.org/officeDocument/2006/relationships" name="V2_Units" sheetId="6" r:id="Rae43eb6e92e849c2"/>
    <x:sheet xmlns:r="http://schemas.openxmlformats.org/officeDocument/2006/relationships" name="V2_Scenarios" sheetId="7" r:id="R521d685af6784d51"/>
    <x:sheet xmlns:r="http://schemas.openxmlformats.org/officeDocument/2006/relationships" name="V2_Matrix" sheetId="8" r:id="R5950905b36494b5f"/>
    <x:sheet xmlns:r="http://schemas.openxmlformats.org/officeDocument/2006/relationships" name="V2_Marginal" sheetId="9" r:id="Rb26cfbb34e574c2d"/>
    <x:sheet xmlns:r="http://schemas.openxmlformats.org/officeDocument/2006/relationships" name="V2_Parameters" sheetId="10" r:id="Rf6d601a481b54fa7"/>
    <x:sheet xmlns:r="http://schemas.openxmlformats.org/officeDocument/2006/relationships" name="V3_Readme" sheetId="11" r:id="R5089747054b1490d"/>
    <x:sheet xmlns:r="http://schemas.openxmlformats.org/officeDocument/2006/relationships" name="V3_Parameters" sheetId="12" r:id="R1b515dcd970a417f"/>
    <x:sheet xmlns:r="http://schemas.openxmlformats.org/officeDocument/2006/relationships" name="V3_CustomUnits" sheetId="13" r:id="R1b0954bd9a6f4781"/>
    <x:sheet xmlns:r="http://schemas.openxmlformats.org/officeDocument/2006/relationships" name="V3_Diagnosis" sheetId="14" r:id="Rc59704e327964196"/>
    <x:sheet xmlns:r="http://schemas.openxmlformats.org/officeDocument/2006/relationships" name="V3_Recommendations" sheetId="15" r:id="R9b8bca47f2e8486f"/>
    <x:sheet xmlns:r="http://schemas.openxmlformats.org/officeDocument/2006/relationships" name="V3_Dashboard" sheetId="16" r:id="R1a5cbeca77314068"/>
    <x:sheet xmlns:r="http://schemas.openxmlformats.org/officeDocument/2006/relationships" name="V31_Readme" sheetId="17" r:id="R9be28deecbd245d2"/>
    <x:sheet xmlns:r="http://schemas.openxmlformats.org/officeDocument/2006/relationships" name="V31_Parameters" sheetId="18" r:id="R36ee5b5b700443c8"/>
    <x:sheet xmlns:r="http://schemas.openxmlformats.org/officeDocument/2006/relationships" name="V31_Benchmark" sheetId="19" r:id="Rdf85ab8251cf4458"/>
    <x:sheet xmlns:r="http://schemas.openxmlformats.org/officeDocument/2006/relationships" name="V31_Scenarios" sheetId="20" r:id="R59775098cf384a45"/>
    <x:sheet xmlns:r="http://schemas.openxmlformats.org/officeDocument/2006/relationships" name="V31_CustomUnits" sheetId="21" r:id="R5d39f62fd9c44cba"/>
    <x:sheet xmlns:r="http://schemas.openxmlformats.org/officeDocument/2006/relationships" name="V31_Diagnosis" sheetId="22" r:id="R565832328d224b64"/>
    <x:sheet xmlns:r="http://schemas.openxmlformats.org/officeDocument/2006/relationships" name="V31_Recommendations" sheetId="23" r:id="R138da228da3b42f4"/>
    <x:sheet xmlns:r="http://schemas.openxmlformats.org/officeDocument/2006/relationships" name="V31_Dashboard" sheetId="24" r:id="R30fa22f7ff4447d7"/>
    <x:sheet xmlns:r="http://schemas.openxmlformats.org/officeDocument/2006/relationships" name="Commander_Scan_2026" sheetId="25" r:id="R32a70db01eae4e28"/>
    <x:sheet xmlns:r="http://schemas.openxmlformats.org/officeDocument/2006/relationships" name="Commander_Outliers" sheetId="26" r:id="R10273ad7951048f1"/>
    <x:sheet xmlns:r="http://schemas.openxmlformats.org/officeDocument/2006/relationships" name="Commander_Findings" sheetId="27" r:id="Rfcb772b796c74c72"/>
    <x:sheet xmlns:r="http://schemas.openxmlformats.org/officeDocument/2006/relationships" name="V32_Readme" sheetId="28" r:id="R8b0f0450129d45dc"/>
    <x:sheet xmlns:r="http://schemas.openxmlformats.org/officeDocument/2006/relationships" name="V32_ModelTypes" sheetId="29" r:id="Rab85b3425ca34eac"/>
    <x:sheet xmlns:r="http://schemas.openxmlformats.org/officeDocument/2006/relationships" name="V32_Validation" sheetId="30" r:id="Re9bfe1ff42ed4ce3"/>
    <x:sheet xmlns:r="http://schemas.openxmlformats.org/officeDocument/2006/relationships" name="V32_Scenarios" sheetId="31" r:id="R7c998291b5b34b61"/>
    <x:sheet xmlns:r="http://schemas.openxmlformats.org/officeDocument/2006/relationships" name="V32_Dashboard" sheetId="32" r:id="R47b668de3fcf41f0"/>
    <x:sheet xmlns:r="http://schemas.openxmlformats.org/officeDocument/2006/relationships" name="V32_Recommendations" sheetId="33" r:id="Rcc24b694439746fa"/>
    <x:sheet xmlns:r="http://schemas.openxmlformats.org/officeDocument/2006/relationships" name="V33_Community" sheetId="34" r:id="R694c3660ad53426d"/>
    <x:sheet xmlns:r="http://schemas.openxmlformats.org/officeDocument/2006/relationships" name="V33_Regression" sheetId="35" r:id="Rd8187f39d08c4f98"/>
    <x:sheet xmlns:r="http://schemas.openxmlformats.org/officeDocument/2006/relationships" name="V33_Dashboard" sheetId="36" r:id="R7798963432274ce5"/>
    <x:sheet xmlns:r="http://schemas.openxmlformats.org/officeDocument/2006/relationships" name="V33_Calibration" sheetId="37" r:id="Re94a131232aa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%"/>
    <x:numFmt numFmtId="203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385723"/>
      <x:name val="Carlito"/>
    </x:font>
    <x:font>
      <x:b/>
      <x:sz val="11"/>
      <x:color rgb="FF000000"/>
      <x:name val="Carlito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C55A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200" fontId="0" fillId="10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horizont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20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1" fontId="0" fillId="21" borderId="0" xfId="0" applyNumberFormat="1" applyFont="1" applyFill="1" applyBorder="1"/>
    <x:xf numFmtId="201" fontId="0" fillId="23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1" fontId="0" fillId="5" borderId="0" xfId="0" applyNumberFormat="1" applyFont="1" applyFill="1" applyBorder="1"/>
    <x:xf numFmtId="201" fontId="0" fillId="18" borderId="0" xfId="0" applyNumberFormat="1" applyFont="1" applyFill="1" applyBorder="1"/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wrapText="1"/>
    </x:xf>
    <x:xf numFmtId="0" fontId="2" fillId="25" borderId="0" xfId="0" applyNumberFormat="1" applyFont="1" applyFill="1" applyBorder="1" applyAlignment="1">
      <x:alignment horizontal="center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3" fillId="2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horizontal="center"/>
    </x:xf>
    <x:xf numFmtId="0" fontId="6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wrapText="1"/>
    </x:xf>
    <x:xf numFmtId="0" fontId="7" fillId="28" borderId="0" xfId="0" applyNumberFormat="1" applyFont="1" applyFill="1" applyBorder="1" applyAlignment="1">
      <x:alignment horizontal="center" wrapText="1"/>
    </x:xf>
    <x:xf numFmtId="0" fontId="7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0" xfId="0" applyNumberFormat="1" applyFont="1" applyFill="1" applyBorder="1" applyAlignment="1">
      <x:alignment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9" fillId="30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9" fillId="30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/>
    <x:xf numFmtId="0" fontId="0" fillId="31" borderId="0" xfId="0" applyNumberFormat="1" applyFont="1" applyFill="1" applyBorder="1"/>
    <x:xf numFmtId="0" fontId="6" fillId="31" borderId="0" xfId="0" applyNumberFormat="1" applyFont="1" applyFill="1" applyBorder="1"/>
    <x:xf numFmtId="0" fontId="6" fillId="31" borderId="0" xfId="0" applyNumberFormat="1" applyFont="1" applyFill="1" applyBorder="1" applyAlignment="1">
      <x:alignment horizontal="left"/>
    </x:xf>
    <x:xf numFmtId="0" fontId="6" fillId="31" borderId="0" xfId="0" applyNumberFormat="1" applyFont="1" applyFill="1" applyBorder="1" applyAlignment="1">
      <x:alignment horizontal="left" vertical="center"/>
    </x:xf>
    <x:xf numFmtId="0" fontId="0" fillId="32" borderId="0" xfId="0" applyNumberFormat="1" applyFont="1" applyFill="1" applyBorder="1"/>
    <x:xf numFmtId="0" fontId="10" fillId="32" borderId="0" xfId="0" applyNumberFormat="1" applyFont="1" applyFill="1" applyBorder="1"/>
    <x:xf numFmtId="0" fontId="10" fillId="32" borderId="0" xfId="0" applyNumberFormat="1" applyFont="1" applyFill="1" applyBorder="1" applyAlignment="1">
      <x:alignment wrapText="1"/>
    </x:xf>
    <x:xf numFmtId="0" fontId="10" fillId="32" borderId="0" xfId="0" applyNumberFormat="1" applyFont="1" applyFill="1" applyBorder="1" applyAlignment="1">
      <x:alignment horizontal="center" wrapText="1"/>
    </x:xf>
    <x:xf numFmtId="0" fontId="10" fillId="3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557a5a85f45cc" /><Relationship Type="http://schemas.openxmlformats.org/officeDocument/2006/relationships/theme" Target="/xl/theme/theme1.xml" Id="Reb1626ce26844935" /><Relationship Type="http://schemas.openxmlformats.org/officeDocument/2006/relationships/sharedStrings" Target="/xl/sharedStrings.xml" Id="R2f349e2ff2cc41d0" /><Relationship Type="http://schemas.openxmlformats.org/officeDocument/2006/relationships/worksheet" Target="/xl/worksheets/sheet1.xml" Id="R7572711edaf6471d" /><Relationship Type="http://schemas.openxmlformats.org/officeDocument/2006/relationships/worksheet" Target="/xl/worksheets/sheet2.xml" Id="R7e29b2c42a07431b" /><Relationship Type="http://schemas.openxmlformats.org/officeDocument/2006/relationships/worksheet" Target="/xl/worksheets/sheet3.xml" Id="R6d2446defafb473e" /><Relationship Type="http://schemas.openxmlformats.org/officeDocument/2006/relationships/worksheet" Target="/xl/worksheets/sheet4.xml" Id="R692de02d03da4ecc" /><Relationship Type="http://schemas.openxmlformats.org/officeDocument/2006/relationships/worksheet" Target="/xl/worksheets/sheet5.xml" Id="R413ca799c76a41c0" /><Relationship Type="http://schemas.openxmlformats.org/officeDocument/2006/relationships/worksheet" Target="/xl/worksheets/sheet6.xml" Id="Rae43eb6e92e849c2" /><Relationship Type="http://schemas.openxmlformats.org/officeDocument/2006/relationships/worksheet" Target="/xl/worksheets/sheet7.xml" Id="R521d685af6784d51" /><Relationship Type="http://schemas.openxmlformats.org/officeDocument/2006/relationships/worksheet" Target="/xl/worksheets/sheet8.xml" Id="R5950905b36494b5f" /><Relationship Type="http://schemas.openxmlformats.org/officeDocument/2006/relationships/worksheet" Target="/xl/worksheets/sheet9.xml" Id="Rb26cfbb34e574c2d" /><Relationship Type="http://schemas.openxmlformats.org/officeDocument/2006/relationships/worksheet" Target="/xl/worksheets/sheet10.xml" Id="Rf6d601a481b54fa7" /><Relationship Type="http://schemas.openxmlformats.org/officeDocument/2006/relationships/worksheet" Target="/xl/worksheets/sheet11.xml" Id="R5089747054b1490d" /><Relationship Type="http://schemas.openxmlformats.org/officeDocument/2006/relationships/worksheet" Target="/xl/worksheets/sheet12.xml" Id="R1b515dcd970a417f" /><Relationship Type="http://schemas.openxmlformats.org/officeDocument/2006/relationships/worksheet" Target="/xl/worksheets/sheet13.xml" Id="R1b0954bd9a6f4781" /><Relationship Type="http://schemas.openxmlformats.org/officeDocument/2006/relationships/worksheet" Target="/xl/worksheets/sheet14.xml" Id="Rc59704e327964196" /><Relationship Type="http://schemas.openxmlformats.org/officeDocument/2006/relationships/worksheet" Target="/xl/worksheets/sheet15.xml" Id="R9b8bca47f2e8486f" /><Relationship Type="http://schemas.openxmlformats.org/officeDocument/2006/relationships/worksheet" Target="/xl/worksheets/sheet16.xml" Id="R1a5cbeca77314068" /><Relationship Type="http://schemas.openxmlformats.org/officeDocument/2006/relationships/worksheet" Target="/xl/worksheets/sheet17.xml" Id="R9be28deecbd245d2" /><Relationship Type="http://schemas.openxmlformats.org/officeDocument/2006/relationships/worksheet" Target="/xl/worksheets/sheet18.xml" Id="R36ee5b5b700443c8" /><Relationship Type="http://schemas.openxmlformats.org/officeDocument/2006/relationships/worksheet" Target="/xl/worksheets/sheet19.xml" Id="Rdf85ab8251cf4458" /><Relationship Type="http://schemas.openxmlformats.org/officeDocument/2006/relationships/worksheet" Target="/xl/worksheets/sheet20.xml" Id="R59775098cf384a45" /><Relationship Type="http://schemas.openxmlformats.org/officeDocument/2006/relationships/worksheet" Target="/xl/worksheets/sheet21.xml" Id="R5d39f62fd9c44cba" /><Relationship Type="http://schemas.openxmlformats.org/officeDocument/2006/relationships/worksheet" Target="/xl/worksheets/sheet22.xml" Id="R565832328d224b64" /><Relationship Type="http://schemas.openxmlformats.org/officeDocument/2006/relationships/worksheet" Target="/xl/worksheets/sheet23.xml" Id="R138da228da3b42f4" /><Relationship Type="http://schemas.openxmlformats.org/officeDocument/2006/relationships/worksheet" Target="/xl/worksheets/sheet24.xml" Id="R30fa22f7ff4447d7" /><Relationship Type="http://schemas.openxmlformats.org/officeDocument/2006/relationships/worksheet" Target="/xl/worksheets/sheet25.xml" Id="R32a70db01eae4e28" /><Relationship Type="http://schemas.openxmlformats.org/officeDocument/2006/relationships/worksheet" Target="/xl/worksheets/sheet26.xml" Id="R10273ad7951048f1" /><Relationship Type="http://schemas.openxmlformats.org/officeDocument/2006/relationships/worksheet" Target="/xl/worksheets/sheet27.xml" Id="Rfcb772b796c74c72" /><Relationship Type="http://schemas.openxmlformats.org/officeDocument/2006/relationships/worksheet" Target="/xl/worksheets/sheet28.xml" Id="R8b0f0450129d45dc" /><Relationship Type="http://schemas.openxmlformats.org/officeDocument/2006/relationships/worksheet" Target="/xl/worksheets/sheet29.xml" Id="Rab85b3425ca34eac" /><Relationship Type="http://schemas.openxmlformats.org/officeDocument/2006/relationships/worksheet" Target="/xl/worksheets/sheet30.xml" Id="Re9bfe1ff42ed4ce3" /><Relationship Type="http://schemas.openxmlformats.org/officeDocument/2006/relationships/worksheet" Target="/xl/worksheets/sheet31.xml" Id="R7c998291b5b34b61" /><Relationship Type="http://schemas.openxmlformats.org/officeDocument/2006/relationships/worksheet" Target="/xl/worksheets/sheet32.xml" Id="R47b668de3fcf41f0" /><Relationship Type="http://schemas.openxmlformats.org/officeDocument/2006/relationships/worksheet" Target="/xl/worksheets/sheet33.xml" Id="Rcc24b694439746fa" /><Relationship Type="http://schemas.openxmlformats.org/officeDocument/2006/relationships/worksheet" Target="/xl/worksheets/sheet34.xml" Id="R694c3660ad53426d" /><Relationship Type="http://schemas.openxmlformats.org/officeDocument/2006/relationships/worksheet" Target="/xl/worksheets/sheet35.xml" Id="Rd8187f39d08c4f98" /><Relationship Type="http://schemas.openxmlformats.org/officeDocument/2006/relationships/worksheet" Target="/xl/worksheets/sheet36.xml" Id="R7798963432274ce5" /><Relationship Type="http://schemas.openxmlformats.org/officeDocument/2006/relationships/worksheet" Target="/xl/worksheets/sheet37.xml" Id="Re94a131232aa43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da3ee18fda43c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cc7090eead8456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e65c4e325f44f5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3e56a9caf1047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 Score vs Marine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BalanceScore</c:v>
          </c:tx>
          <c:cat>
            <c:strRef>
              <c:f>'Unit_Calculator'!$X$4:$X$9</c:f>
              <c:strCache>
                <c:ptCount val="0"/>
              </c:strCache>
            </c:strRef>
          </c:cat>
          <c:val>
            <c:numRef>
              <c:f>'Unit_Calculator'!$Y$4:$Y$9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 Balance Score by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Score</c:v>
          </c:tx>
          <c:cat>
            <c:strRef>
              <c:f>'V2_Dashboard'!$A$11:$A$20</c:f>
              <c:strCache>
                <c:ptCount val="0"/>
              </c:strCache>
            </c:strRef>
          </c:cat>
          <c:val>
            <c:numRef>
              <c:f>'V2_Dashboard'!$B$11:$B$20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Raw pre-sim score — flagged units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'Commander_Outliers'!$I$8:$I$18</c:f>
              <c:strCache>
                <c:ptCount val="0"/>
              </c:strCache>
            </c:strRef>
          </c:cat>
          <c:val>
            <c:numRef>
              <c:f>'Commander_Outliers'!$J$8:$J$18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Community Reward-to-Effort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Reward Score</c:v>
          </c:tx>
          <c:cat>
            <c:strRef>
              <c:f>'V33_Community'!$L$4:$L$21</c:f>
              <c:strCache>
                <c:ptCount val="0"/>
              </c:strCache>
            </c:strRef>
          </c:cat>
          <c:val>
            <c:numRef>
              <c:f>'V33_Community'!$M$4:$M$21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da3ee18fda43c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c7090eead8456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65c4e325f44f5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e56a9caf1047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2UnitsTable" displayName="V2UnitsTable" ref="A3:AF13" headerRowCount="1" totalsRowCount="0" totalsRowShown="0">
  <x:tableColumns count="32">
    <x:tableColumn id="1" name="Unit"/>
    <x:tableColumn id="2" name="Archetype"/>
    <x:tableColumn id="3" name="Benchmark"/>
    <x:tableColumn id="4" name="M"/>
    <x:tableColumn id="5" name="G"/>
    <x:tableColumn id="6" name="Supply"/>
    <x:tableColumn id="7" name="Build s"/>
    <x:tableColumn id="8" name="HP"/>
    <x:tableColumn id="9" name="Shield"/>
    <x:tableColumn id="10" name="Armor"/>
    <x:tableColumn id="11" name="DPS G"/>
    <x:tableColumn id="12" name="DPS A"/>
    <x:tableColumn id="13" name="Range"/>
    <x:tableColumn id="14" name="Speed"/>
    <x:tableColumn id="15" name="Armored Bonus DPS"/>
    <x:tableColumn id="16" name="AOE Target Mult"/>
    <x:tableColumn id="17" name="Collision Impact"/>
    <x:tableColumn id="18" name="Skill Impact"/>
    <x:tableColumn id="19" name="Skill Uptime"/>
    <x:tableColumn id="20" name="Skill Counterplay"/>
    <x:tableColumn id="21" name="Tech"/>
    <x:tableColumn id="22" name="Utility"/>
    <x:tableColumn id="23" name="EHP"/>
    <x:tableColumn id="24" name="BaseCombatIdx"/>
    <x:tableColumn id="25" name="ResourceIdx"/>
    <x:tableColumn id="26" name="ConstraintIdx"/>
    <x:tableColumn id="27" name="TechCostIdx"/>
    <x:tableColumn id="28" name="TotalCostIdx"/>
    <x:tableColumn id="29" name="RoleFitBase"/>
    <x:tableColumn id="30" name="StaticScore"/>
    <x:tableColumn id="31" name="Notes"/>
    <x:tableColumn id="32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ScenarioTable" displayName="V2ScenarioTable" ref="A3:K12" headerRowCount="1" totalsRowCount="0" totalsRowShown="0">
  <x:tableColumns count="11">
    <x:tableColumn id="1" name="Scenario"/>
    <x:tableColumn id="2" name="Target Mix"/>
    <x:tableColumn id="3" name="Target Armored %"/>
    <x:tableColumn id="4" name="Target Air %"/>
    <x:tableColumn id="5" name="Target Density"/>
    <x:tableColumn id="6" name="Space Tightness"/>
    <x:tableColumn id="7" name="AOE Counterplay"/>
    <x:tableColumn id="8" name="Skill Counterplay"/>
    <x:tableColumn id="9" name="Micro Difficulty"/>
    <x:tableColumn id="10" name="Role Context"/>
    <x:tableColumn id="11" name="Scenari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ScenarioMatrixTable" displayName="V2ScenarioMatrixTable" ref="A3:S93" headerRowCount="1" totalsRowCount="0" totalsRowShown="0">
  <x:tableColumns count="19">
    <x:tableColumn id="1" name="Unit"/>
    <x:tableColumn id="2" name="Scenario"/>
    <x:tableColumn id="3" name="Archetype"/>
    <x:tableColumn id="4" name="Target Armored %"/>
    <x:tableColumn id="5" name="Target Air %"/>
    <x:tableColumn id="6" name="Target Density"/>
    <x:tableColumn id="7" name="Space Tightness"/>
    <x:tableColumn id="8" name="AOE Counterplay"/>
    <x:tableColumn id="9" name="Skill Counterplay"/>
    <x:tableColumn id="10" name="Micro Difficulty"/>
    <x:tableColumn id="11" name="EHP"/>
    <x:tableColumn id="12" name="Effective DPS"/>
    <x:tableColumn id="13" name="Formation Mult"/>
    <x:tableColumn id="14" name="AOE Mult"/>
    <x:tableColumn id="15" name="Skill Mult"/>
    <x:tableColumn id="16" name="Role Fit"/>
    <x:tableColumn id="17" name="Scenario Score"/>
    <x:tableColumn id="18" name="Delta vs Static"/>
    <x:tableColumn id="19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3de26153168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c1de7de17a740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0f37678577948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c2318a20d73d49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0359dc45883446d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3.xml" Id="R9b5f9b7ddf804f75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4.xml" Id="R51cf7a4529a4494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RTS / SC2 Unit Balance Calculator — Parameters</x:v>
      </x:c>
    </x:row>
    <x:row r="3">
      <x:c r="A3" s="22" t="str">
        <x:v>Parameter</x:v>
      </x:c>
      <x:c r="B3" s="22" t="str">
        <x:v>Default</x:v>
      </x:c>
    </x:row>
    <x:row r="4">
      <x:c r="A4" s="38" t="str">
        <x:v>Benchmark unit</x:v>
      </x:c>
      <x:c r="B4" s="35" t="str">
        <x:v>Marine</x:v>
      </x:c>
    </x:row>
    <x:row r="5">
      <x:c r="A5" s="38" t="str">
        <x:v>Mineral opportunity weight</x:v>
      </x:c>
      <x:c r="B5" s="39" t="n">
        <x:v>1</x:v>
      </x:c>
    </x:row>
    <x:row r="6">
      <x:c r="A6" s="38" t="str">
        <x:v>Gas opportunity weight</x:v>
      </x:c>
      <x:c r="B6" s="39" t="n">
        <x:v>1.5</x:v>
      </x:c>
    </x:row>
    <x:row r="7">
      <x:c r="A7" s="38" t="str">
        <x:v>Supply weight</x:v>
      </x:c>
      <x:c r="B7" s="39" t="n">
        <x:v>1</x:v>
      </x:c>
    </x:row>
    <x:row r="8">
      <x:c r="A8" s="38" t="str">
        <x:v>Build-time weight</x:v>
      </x:c>
      <x:c r="B8" s="39" t="n">
        <x:v>1</x:v>
      </x:c>
    </x:row>
    <x:row r="9">
      <x:c r="A9" s="38" t="str">
        <x:v>EHP weight</x:v>
      </x:c>
      <x:c r="B9" s="39" t="n">
        <x:v>0.2</x:v>
      </x:c>
    </x:row>
    <x:row r="10">
      <x:c r="A10" s="38" t="str">
        <x:v>DPS weight</x:v>
      </x:c>
      <x:c r="B10" s="39" t="n">
        <x:v>0.3</x:v>
      </x:c>
    </x:row>
    <x:row r="11">
      <x:c r="A11" s="38" t="str">
        <x:v>Range weight</x:v>
      </x:c>
      <x:c r="B11" s="39" t="n">
        <x:v>0.15</x:v>
      </x:c>
    </x:row>
    <x:row r="12">
      <x:c r="A12" s="38" t="str">
        <x:v>Speed weight</x:v>
      </x:c>
      <x:c r="B12" s="39" t="n">
        <x:v>0.1</x:v>
      </x:c>
    </x:row>
    <x:row r="13">
      <x:c r="A13" s="38" t="str">
        <x:v>Armor weight</x:v>
      </x:c>
      <x:c r="B13" s="39" t="n">
        <x:v>0.05</x:v>
      </x:c>
    </x:row>
    <x:row r="14">
      <x:c r="A14" s="38" t="str">
        <x:v>Utility/ability weight</x:v>
      </x:c>
      <x:c r="B14" s="39" t="n">
        <x:v>0.2</x:v>
      </x:c>
    </x:row>
    <x:row r="16">
      <x:c r="A16" s="11" t="str">
        <x:v>Interpretation</x:v>
      </x:c>
      <x:c r="B16" s="11" t="str">
        <x:v>Formula / use</x:v>
      </x:c>
      <x:c r="C16" s="11" t="str">
        <x:v>Meaning</x:v>
      </x:c>
      <x:c r="D16"/>
      <x:c r="E16"/>
      <x:c r="F16"/>
    </x:row>
    <x:row r="17">
      <x:c r="A17" t="str">
        <x:v>Resource index</x:v>
      </x:c>
      <x:c r="B17" t="str">
        <x:v>(M + GasWeight×G) / Marine resource cost</x:v>
      </x:c>
      <x:c r="C17" t="str">
        <x:v>Economic cost normalized to benchmark</x:v>
      </x:c>
      <x:c r="D17"/>
      <x:c r="E17"/>
      <x:c r="F17"/>
    </x:row>
    <x:row r="18">
      <x:c r="A18" t="str">
        <x:v>Constraint index</x:v>
      </x:c>
      <x:c r="B18" t="str">
        <x:v>Supply×SupplyWeight + Time×TimeWeight</x:v>
      </x:c>
      <x:c r="C18" t="str">
        <x:v>Population + production-time pressure</x:v>
      </x:c>
      <x:c r="D18"/>
      <x:c r="E18"/>
      <x:c r="F18"/>
    </x:row>
    <x:row r="19">
      <x:c r="A19" t="str">
        <x:v>Combat score</x:v>
      </x:c>
      <x:c r="B19" t="str">
        <x:v>Weighted normalized EHP/DPS/Range/Speed/Armor + utility</x:v>
      </x:c>
      <x:c r="C19" t="str">
        <x:v>Static combat value</x:v>
      </x:c>
      <x:c r="D19"/>
      <x:c r="E19"/>
      <x:c r="F19"/>
    </x:row>
    <x:row r="20">
      <x:c r="A20" t="str">
        <x:v>Balance score</x:v>
      </x:c>
      <x:c r="B20" t="str">
        <x:v>Combat score / total cost index</x:v>
      </x:c>
      <x:c r="C20" t="str">
        <x:v>Higher = more combat value per modeled opportunity cost</x:v>
      </x:c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0" hidden="0" customWidth="1"/>
    <x:col min="22" max="22" width="4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Calculator — enter/edit yellow inputs</x:v>
      </x:c>
    </x:row>
    <x:row r="3">
      <x:c r="A3" s="23" t="str">
        <x:v>Unit</x:v>
      </x:c>
      <x:c r="B3" s="23" t="str">
        <x:v>Minerals</x:v>
      </x:c>
      <x:c r="C3" s="23" t="str">
        <x:v>Gas</x:v>
      </x:c>
      <x:c r="D3" s="23" t="str">
        <x:v>Supply</x:v>
      </x:c>
      <x:c r="E3" s="23" t="str">
        <x:v>Build s</x:v>
      </x:c>
      <x:c r="F3" s="23" t="str">
        <x:v>HP</x:v>
      </x:c>
      <x:c r="G3" s="23" t="str">
        <x:v>Shield</x:v>
      </x:c>
      <x:c r="H3" s="23" t="str">
        <x:v>Armor</x:v>
      </x:c>
      <x:c r="I3" s="23" t="str">
        <x:v>DPS</x:v>
      </x:c>
      <x:c r="J3" s="23" t="str">
        <x:v>Range</x:v>
      </x:c>
      <x:c r="K3" s="23" t="str">
        <x:v>Speed</x:v>
      </x:c>
      <x:c r="L3" s="23" t="str">
        <x:v>Utility Score</x:v>
      </x:c>
      <x:c r="M3" s="23" t="str">
        <x:v>EHP</x:v>
      </x:c>
      <x:c r="N3" s="23" t="str">
        <x:v>ResourceIdx</x:v>
      </x:c>
      <x:c r="O3" s="23" t="str">
        <x:v>ConstraintIdx</x:v>
      </x:c>
      <x:c r="P3" s="23" t="str">
        <x:v>CombatIdx</x:v>
      </x:c>
      <x:c r="Q3" s="23" t="str">
        <x:v>TotalCostIdx</x:v>
      </x:c>
      <x:c r="R3" s="23" t="str">
        <x:v>BalanceScore</x:v>
      </x:c>
      <x:c r="S3" s="23" t="str">
        <x:v>Vs Marine</x:v>
      </x:c>
      <x:c r="T3" s="23" t="str">
        <x:v>Flag</x:v>
      </x:c>
      <x:c r="U3" s="23" t="str">
        <x:v>Archetype</x:v>
      </x:c>
      <x:c r="V3" s="23" t="str">
        <x:v>Source</x:v>
      </x:c>
      <x:c r="X3" s="16" t="str">
        <x:v>Unit</x:v>
      </x:c>
      <x:c r="Y3" s="16" t="str">
        <x:v>BalanceScore</x:v>
      </x:c>
    </x:row>
    <x:row r="4">
      <x:c r="A4" t="str">
        <x:v>Marine</x:v>
      </x:c>
      <x:c r="B4" s="30" t="n">
        <x:v>50</x:v>
      </x:c>
      <x:c r="C4" s="30" t="n">
        <x:v>0</x:v>
      </x:c>
      <x:c r="D4" s="30" t="n">
        <x:v>1</x:v>
      </x:c>
      <x:c r="E4" s="30" t="n">
        <x:v>18</x:v>
      </x:c>
      <x:c r="F4" s="30" t="n">
        <x:v>45</x:v>
      </x:c>
      <x:c r="G4" s="30" t="n">
        <x:v>0</x:v>
      </x:c>
      <x:c r="H4" s="30" t="n">
        <x:v>0</x:v>
      </x:c>
      <x:c r="I4" s="30" t="n">
        <x:v>9.8</x:v>
      </x:c>
      <x:c r="J4" s="30" t="n">
        <x:v>5</x:v>
      </x:c>
      <x:c r="K4" s="30" t="n">
        <x:v>3.15</x:v>
      </x:c>
      <x:c r="L4" s="30" t="n">
        <x:v>0</x:v>
      </x:c>
      <x:c r="M4" s="32" t="n">
        <x:f>F4+G4</x:f>
        <x:v>45</x:v>
      </x:c>
      <x:c r="N4" s="32" t="n">
        <x:f>(B4+Parameters!$B$6*C4)/($B$4+Parameters!$B$6*$C$4)</x:f>
        <x:v>1</x:v>
      </x:c>
      <x:c r="O4" s="32" t="n">
        <x:f>(D4*Parameters!$B$7+E4*Parameters!$B$8)/($D$4*Parameters!$B$7+$E$4*Parameters!$B$8)</x:f>
        <x:v>1</x:v>
      </x:c>
      <x:c r="P4" s="32" t="n">
        <x:f>Parameters!$B$9*(M4/$M$4)+Parameters!$B$10*(I4/$I$4)+Parameters!$B$11*(J4/$J$4)+Parameters!$B$12*(K4/$K$4)+Parameters!$B$13*((H4+1)/($H$4+1))+Parameters!$B$14*(1+L4)</x:f>
        <x:v>1</x:v>
      </x:c>
      <x:c r="Q4" s="32" t="n">
        <x:f>N4*0.60+O4*0.40</x:f>
        <x:v>1</x:v>
      </x:c>
      <x:c r="R4" s="32" t="n">
        <x:f>P4/Q4</x:f>
        <x:v>1</x:v>
      </x:c>
      <x:c r="S4" s="32" t="n">
        <x:f>R4-1</x:f>
        <x:v>0</x:v>
      </x:c>
      <x:c r="T4" s="28" t="str">
        <x:f>IF(ABS(R4-1)&lt;=0.10,"OK",IF(R4&gt;1.10,"Strong","Weak"))</x:f>
        <x:v>OK</x:v>
      </x:c>
      <x:c r="U4" t="str">
        <x:v>T1 ranged</x:v>
      </x:c>
      <x:c r="V4" t="str">
        <x:v>https://liquipedia.net/starcraft2/Marine_(Legacy_of_the_Void)</x:v>
      </x:c>
      <x:c r="X4" s="16" t="str">
        <x:v>Marine</x:v>
      </x:c>
      <x:c r="Y4" s="16" t="n">
        <x:f>R4</x:f>
        <x:v>1</x:v>
      </x:c>
    </x:row>
    <x:row r="5">
      <x:c r="A5" t="str">
        <x:v>Marauder</x:v>
      </x:c>
      <x:c r="B5" s="30" t="n">
        <x:v>100</x:v>
      </x:c>
      <x:c r="C5" s="30" t="n">
        <x:v>25</x:v>
      </x:c>
      <x:c r="D5" s="30" t="n">
        <x:v>2</x:v>
      </x:c>
      <x:c r="E5" s="30" t="n">
        <x:v>21</x:v>
      </x:c>
      <x:c r="F5" s="30" t="n">
        <x:v>125</x:v>
      </x:c>
      <x:c r="G5" s="30" t="n">
        <x:v>0</x:v>
      </x:c>
      <x:c r="H5" s="30" t="n">
        <x:v>1</x:v>
      </x:c>
      <x:c r="I5" s="30" t="n">
        <x:v>9.3</x:v>
      </x:c>
      <x:c r="J5" s="30" t="n">
        <x:v>6</x:v>
      </x:c>
      <x:c r="K5" s="30" t="n">
        <x:v>3.15</x:v>
      </x:c>
      <x:c r="L5" s="30" t="n">
        <x:v>0</x:v>
      </x:c>
      <x:c r="M5" s="32" t="n">
        <x:f>F5+G5</x:f>
        <x:v>125</x:v>
      </x:c>
      <x:c r="N5" s="32" t="n">
        <x:f>(B5+Parameters!$B$6*C5)/($B$4+Parameters!$B$6*$C$4)</x:f>
        <x:v>2.75</x:v>
      </x:c>
      <x:c r="O5" s="32" t="n">
        <x:f>(D5*Parameters!$B$7+E5*Parameters!$B$8)/($D$4*Parameters!$B$7+$E$4*Parameters!$B$8)</x:f>
        <x:v>1.2105263157894737</x:v>
      </x:c>
      <x:c r="P5" s="32" t="n">
        <x:f>Parameters!$B$9*(M5/$M$4)+Parameters!$B$10*(I5/$I$4)+Parameters!$B$11*(J5/$J$4)+Parameters!$B$12*(K5/$K$4)+Parameters!$B$13*((H5+1)/($H$4+1))+Parameters!$B$14*(1+L5)</x:f>
        <x:v>1.420249433106576</x:v>
      </x:c>
      <x:c r="Q5" s="32" t="n">
        <x:f>N5*0.60+O5*0.40</x:f>
        <x:v>2.1342105263157896</x:v>
      </x:c>
      <x:c r="R5" s="32" t="n">
        <x:f>P5/Q5</x:f>
        <x:v>0.6654682917145486</x:v>
      </x:c>
      <x:c r="S5" s="32" t="n">
        <x:f>R5-1</x:f>
        <x:v>-0.3345317082854514</x:v>
      </x:c>
      <x:c r="T5" s="28" t="str">
        <x:f>IF(ABS(R5-1)&lt;=0.10,"OK",IF(R5&gt;1.10,"Strong","Weak"))</x:f>
        <x:v>Weak</x:v>
      </x:c>
      <x:c r="U5" t="str">
        <x:v>T1.5 anti-armor</x:v>
      </x:c>
      <x:c r="V5" t="str">
        <x:v>https://liquipedia.net/starcraft2/Marauder_(Legacy_of_the_Void)</x:v>
      </x:c>
      <x:c r="X5" s="16" t="str">
        <x:v>Marauder</x:v>
      </x:c>
      <x:c r="Y5" s="16" t="n">
        <x:f>R5</x:f>
        <x:v>0.6654682917145486</x:v>
      </x:c>
    </x:row>
    <x:row r="6">
      <x:c r="A6" t="str">
        <x:v>Zealot</x:v>
      </x:c>
      <x:c r="B6" s="30" t="n">
        <x:v>100</x:v>
      </x:c>
      <x:c r="C6" s="30" t="n">
        <x:v>0</x:v>
      </x:c>
      <x:c r="D6" s="30" t="n">
        <x:v>2</x:v>
      </x:c>
      <x:c r="E6" s="30" t="n">
        <x:v>27</x:v>
      </x:c>
      <x:c r="F6" s="30" t="n">
        <x:v>100</x:v>
      </x:c>
      <x:c r="G6" s="30" t="n">
        <x:v>50</x:v>
      </x:c>
      <x:c r="H6" s="30" t="n">
        <x:v>1</x:v>
      </x:c>
      <x:c r="I6" s="30" t="n">
        <x:v>18.6</x:v>
      </x:c>
      <x:c r="J6" s="30" t="n">
        <x:v>0.1</x:v>
      </x:c>
      <x:c r="K6" s="30" t="n">
        <x:v>3.15</x:v>
      </x:c>
      <x:c r="L6" s="30" t="n">
        <x:v>0</x:v>
      </x:c>
      <x:c r="M6" s="32" t="n">
        <x:f>F6+G6</x:f>
        <x:v>150</x:v>
      </x:c>
      <x:c r="N6" s="32" t="n">
        <x:f>(B6+Parameters!$B$6*C6)/($B$4+Parameters!$B$6*$C$4)</x:f>
        <x:v>2</x:v>
      </x:c>
      <x:c r="O6" s="32" t="n">
        <x:f>(D6*Parameters!$B$7+E6*Parameters!$B$8)/($D$4*Parameters!$B$7+$E$4*Parameters!$B$8)</x:f>
        <x:v>1.5263157894736843</x:v>
      </x:c>
      <x:c r="P6" s="32" t="n">
        <x:f>Parameters!$B$9*(M6/$M$4)+Parameters!$B$10*(I6/$I$4)+Parameters!$B$11*(J6/$J$4)+Parameters!$B$12*(K6/$K$4)+Parameters!$B$13*((H6+1)/($H$4+1))+Parameters!$B$14*(1+L6)</x:f>
        <x:v>1.6390544217687077</x:v>
      </x:c>
      <x:c r="Q6" s="32" t="n">
        <x:f>N6*0.60+O6*0.40</x:f>
        <x:v>1.8105263157894738</x:v>
      </x:c>
      <x:c r="R6" s="32" t="n">
        <x:f>P6/Q6</x:f>
        <x:v>0.9052916864420187</x:v>
      </x:c>
      <x:c r="S6" s="32" t="n">
        <x:f>R6-1</x:f>
        <x:v>-0.09470831355798126</x:v>
      </x:c>
      <x:c r="T6" s="28" t="str">
        <x:f>IF(ABS(R6-1)&lt;=0.10,"OK",IF(R6&gt;1.10,"Strong","Weak"))</x:f>
        <x:v>OK</x:v>
      </x:c>
      <x:c r="U6" t="str">
        <x:v>T1 melee</x:v>
      </x:c>
      <x:c r="V6" t="str">
        <x:v>https://liquipedia.net/starcraft2/Zealot</x:v>
      </x:c>
      <x:c r="X6" s="16" t="str">
        <x:v>Zealot</x:v>
      </x:c>
      <x:c r="Y6" s="16" t="n">
        <x:f>R6</x:f>
        <x:v>0.9052916864420187</x:v>
      </x:c>
    </x:row>
    <x:row r="7">
      <x:c r="A7" t="str">
        <x:v>Stalker</x:v>
      </x:c>
      <x:c r="B7" s="30" t="n">
        <x:v>125</x:v>
      </x:c>
      <x:c r="C7" s="30" t="n">
        <x:v>50</x:v>
      </x:c>
      <x:c r="D7" s="30" t="n">
        <x:v>2</x:v>
      </x:c>
      <x:c r="E7" s="30" t="n">
        <x:v>27</x:v>
      </x:c>
      <x:c r="F7" s="30" t="n">
        <x:v>80</x:v>
      </x:c>
      <x:c r="G7" s="30" t="n">
        <x:v>80</x:v>
      </x:c>
      <x:c r="H7" s="30" t="n">
        <x:v>1</x:v>
      </x:c>
      <x:c r="I7" s="30" t="n">
        <x:v>9.7</x:v>
      </x:c>
      <x:c r="J7" s="30" t="n">
        <x:v>6</x:v>
      </x:c>
      <x:c r="K7" s="30" t="n">
        <x:v>4.13</x:v>
      </x:c>
      <x:c r="L7" s="30" t="n">
        <x:v>0</x:v>
      </x:c>
      <x:c r="M7" s="32" t="n">
        <x:f>F7+G7</x:f>
        <x:v>160</x:v>
      </x:c>
      <x:c r="N7" s="32" t="n">
        <x:f>(B7+Parameters!$B$6*C7)/($B$4+Parameters!$B$6*$C$4)</x:f>
        <x:v>4</x:v>
      </x:c>
      <x:c r="O7" s="32" t="n">
        <x:f>(D7*Parameters!$B$7+E7*Parameters!$B$8)/($D$4*Parameters!$B$7+$E$4*Parameters!$B$8)</x:f>
        <x:v>1.5263157894736843</x:v>
      </x:c>
      <x:c r="P7" s="32" t="n">
        <x:f>Parameters!$B$9*(M7/$M$4)+Parameters!$B$10*(I7/$I$4)+Parameters!$B$11*(J7/$J$4)+Parameters!$B$12*(K7/$K$4)+Parameters!$B$13*((H7+1)/($H$4+1))+Parameters!$B$14*(1+L7)</x:f>
        <x:v>1.6191609977324264</x:v>
      </x:c>
      <x:c r="Q7" s="32" t="n">
        <x:f>N7*0.60+O7*0.40</x:f>
        <x:v>3.0105263157894737</x:v>
      </x:c>
      <x:c r="R7" s="32" t="n">
        <x:f>P7/Q7</x:f>
        <x:v>0.5378331985474842</x:v>
      </x:c>
      <x:c r="S7" s="32" t="n">
        <x:f>R7-1</x:f>
        <x:v>-0.46216680145251576</x:v>
      </x:c>
      <x:c r="T7" s="28" t="str">
        <x:f>IF(ABS(R7-1)&lt;=0.10,"OK",IF(R7&gt;1.10,"Strong","Weak"))</x:f>
        <x:v>Weak</x:v>
      </x:c>
      <x:c r="U7" t="str">
        <x:v>T1 ranged/AA</x:v>
      </x:c>
      <x:c r="V7" t="str">
        <x:v>https://liquipedia.net/starcraft2/Stalker_(Legacy_of_the_Void)</x:v>
      </x:c>
      <x:c r="X7" s="16" t="str">
        <x:v>Stalker</x:v>
      </x:c>
      <x:c r="Y7" s="16" t="n">
        <x:f>R7</x:f>
        <x:v>0.5378331985474842</x:v>
      </x:c>
    </x:row>
    <x:row r="8">
      <x:c r="A8" t="str">
        <x:v>Immortal</x:v>
      </x:c>
      <x:c r="B8" s="30" t="n">
        <x:v>250</x:v>
      </x:c>
      <x:c r="C8" s="30" t="n">
        <x:v>100</x:v>
      </x:c>
      <x:c r="D8" s="30" t="n">
        <x:v>4</x:v>
      </x:c>
      <x:c r="E8" s="30" t="n">
        <x:v>39</x:v>
      </x:c>
      <x:c r="F8" s="30" t="n">
        <x:v>200</x:v>
      </x:c>
      <x:c r="G8" s="30" t="n">
        <x:v>100</x:v>
      </x:c>
      <x:c r="H8" s="30" t="n">
        <x:v>1</x:v>
      </x:c>
      <x:c r="I8" s="30" t="n">
        <x:v>17.5</x:v>
      </x:c>
      <x:c r="J8" s="30" t="n">
        <x:v>6</x:v>
      </x:c>
      <x:c r="K8" s="30" t="n">
        <x:v>3.15</x:v>
      </x:c>
      <x:c r="L8" s="30" t="n">
        <x:v>0</x:v>
      </x:c>
      <x:c r="M8" s="32" t="n">
        <x:f>F8+G8</x:f>
        <x:v>300</x:v>
      </x:c>
      <x:c r="N8" s="32" t="n">
        <x:f>(B8+Parameters!$B$6*C8)/($B$4+Parameters!$B$6*$C$4)</x:f>
        <x:v>8</x:v>
      </x:c>
      <x:c r="O8" s="32" t="n">
        <x:f>(D8*Parameters!$B$7+E8*Parameters!$B$8)/($D$4*Parameters!$B$7+$E$4*Parameters!$B$8)</x:f>
        <x:v>2.263157894736842</x:v>
      </x:c>
      <x:c r="P8" s="32" t="n">
        <x:f>Parameters!$B$9*(M8/$M$4)+Parameters!$B$10*(I8/$I$4)+Parameters!$B$11*(J8/$J$4)+Parameters!$B$12*(K8/$K$4)+Parameters!$B$13*((H8+1)/($H$4+1))+Parameters!$B$14*(1+L8)</x:f>
        <x:v>2.4490476190476196</x:v>
      </x:c>
      <x:c r="Q8" s="32" t="n">
        <x:f>N8*0.60+O8*0.40</x:f>
        <x:v>5.705263157894737</x:v>
      </x:c>
      <x:c r="R8" s="32" t="n">
        <x:f>P8/Q8</x:f>
        <x:v>0.4292611140397119</x:v>
      </x:c>
      <x:c r="S8" s="32" t="n">
        <x:f>R8-1</x:f>
        <x:v>-0.5707388859602881</x:v>
      </x:c>
      <x:c r="T8" s="28" t="str">
        <x:f>IF(ABS(R8-1)&lt;=0.10,"OK",IF(R8&gt;1.10,"Strong","Weak"))</x:f>
        <x:v>Weak</x:v>
      </x:c>
      <x:c r="U8" t="str">
        <x:v>T2 anti-armor</x:v>
      </x:c>
      <x:c r="V8" t="str">
        <x:v>https://liquipedia.net/starcraft2/Immortal_(Legacy_of_the_Void)</x:v>
      </x:c>
      <x:c r="X8" s="16" t="str">
        <x:v>Immortal</x:v>
      </x:c>
      <x:c r="Y8" s="16" t="n">
        <x:f>R8</x:f>
        <x:v>0.4292611140397119</x:v>
      </x:c>
    </x:row>
    <x:row r="9">
      <x:c r="A9" t="str">
        <x:v>Siege Tank</x:v>
      </x:c>
      <x:c r="B9" s="30" t="n">
        <x:v>150</x:v>
      </x:c>
      <x:c r="C9" s="30" t="n">
        <x:v>125</x:v>
      </x:c>
      <x:c r="D9" s="30" t="n">
        <x:v>3</x:v>
      </x:c>
      <x:c r="E9" s="30" t="n">
        <x:v>32</x:v>
      </x:c>
      <x:c r="F9" s="30" t="n">
        <x:v>175</x:v>
      </x:c>
      <x:c r="G9" s="30" t="n">
        <x:v>0</x:v>
      </x:c>
      <x:c r="H9" s="30" t="n">
        <x:v>1</x:v>
      </x:c>
      <x:c r="I9" s="30" t="n">
        <x:v>20.27</x:v>
      </x:c>
      <x:c r="J9" s="30" t="n">
        <x:v>7</x:v>
      </x:c>
      <x:c r="K9" s="30" t="n">
        <x:v>3.15</x:v>
      </x:c>
      <x:c r="L9" s="30" t="n">
        <x:v>0</x:v>
      </x:c>
      <x:c r="M9" s="32" t="n">
        <x:f>F9+G9</x:f>
        <x:v>175</x:v>
      </x:c>
      <x:c r="N9" s="32" t="n">
        <x:f>(B9+Parameters!$B$6*C9)/($B$4+Parameters!$B$6*$C$4)</x:f>
        <x:v>6.75</x:v>
      </x:c>
      <x:c r="O9" s="32" t="n">
        <x:f>(D9*Parameters!$B$7+E9*Parameters!$B$8)/($D$4*Parameters!$B$7+$E$4*Parameters!$B$8)</x:f>
        <x:v>1.8421052631578947</x:v>
      </x:c>
      <x:c r="P9" s="32" t="n">
        <x:f>Parameters!$B$9*(M9/$M$4)+Parameters!$B$10*(I9/$I$4)+Parameters!$B$11*(J9/$J$4)+Parameters!$B$12*(K9/$K$4)+Parameters!$B$13*((H9+1)/($H$4+1))+Parameters!$B$14*(1+L9)</x:f>
        <x:v>2.008287981859411</x:v>
      </x:c>
      <x:c r="Q9" s="32" t="n">
        <x:f>N9*0.60+O9*0.40</x:f>
        <x:v>4.786842105263158</x:v>
      </x:c>
      <x:c r="R9" s="32" t="n">
        <x:f>P9/Q9</x:f>
        <x:v>0.41954339368146015</x:v>
      </x:c>
      <x:c r="S9" s="32" t="n">
        <x:f>R9-1</x:f>
        <x:v>-0.5804566063185399</x:v>
      </x:c>
      <x:c r="T9" s="28" t="str">
        <x:f>IF(ABS(R9-1)&lt;=0.10,"OK",IF(R9&gt;1.10,"Strong","Weak"))</x:f>
        <x:v>Weak</x:v>
      </x:c>
      <x:c r="U9" t="str">
        <x:v>T2 artillery/AoE</x:v>
      </x:c>
      <x:c r="V9" t="str">
        <x:v>https://liquipedia.net/starcraft2/Siege_Tank_(Legacy_of_the_Void)</x:v>
      </x:c>
      <x:c r="X9" s="16" t="str">
        <x:v>Siege Tank</x:v>
      </x:c>
      <x:c r="Y9" s="16" t="n">
        <x:f>R9</x:f>
        <x:v>0.41954339368146015</x:v>
      </x:c>
    </x:row>
    <x:row r="11">
      <x:c r="A11" s="34" t="str">
        <x:v>How to use</x:v>
      </x:c>
      <x:c r="B11" s="35"/>
      <x:c r="C11" s="35"/>
      <x:c r="D11" s="35"/>
      <x:c r="E11" s="35"/>
      <x:c r="F11" s="35"/>
      <x:c r="G11" s="35"/>
      <x:c r="H11" s="35"/>
    </x:row>
    <x:row r="12" ht="32" customHeight="1">
      <x:c r="A12" s="35" t="str">
        <x:v>1</x:v>
      </x:c>
      <x:c r="B12" s="35" t="str">
        <x:v>Edit yellow cells B:L; keep utility as a 0–1 relative bonus for special abilities.</x:v>
      </x:c>
      <x:c r="C12" s="35"/>
      <x:c r="D12" s="35"/>
      <x:c r="E12" s="35"/>
      <x:c r="F12" s="35"/>
      <x:c r="G12" s="35"/>
      <x:c r="H12" s="35"/>
    </x:row>
    <x:row r="13" ht="32" customHeight="1">
      <x:c r="A13" s="35" t="str">
        <x:v>2</x:v>
      </x:c>
      <x:c r="B13" s="35" t="str">
        <x:v>Change parameters on Parameters!B5:B14 to tune mineral/gas/supply/time and combat weights.</x:v>
      </x:c>
      <x:c r="C13" s="35"/>
      <x:c r="D13" s="35"/>
      <x:c r="E13" s="35"/>
      <x:c r="F13" s="35"/>
      <x:c r="G13" s="35"/>
      <x:c r="H13" s="35"/>
    </x:row>
    <x:row r="14" ht="32" customHeight="1">
      <x:c r="A14" s="35" t="str">
        <x:v>3</x:v>
      </x:c>
      <x:c r="B14" s="35" t="str">
        <x:v>BalanceScore = CombatIdx / TotalCostIdx. 1.00 is the Marine-normalized neutral point.</x:v>
      </x:c>
      <x:c r="C14" s="35"/>
      <x:c r="D14" s="35"/>
      <x:c r="E14" s="35"/>
      <x:c r="F14" s="35"/>
      <x:c r="G14" s="35"/>
      <x:c r="H14" s="35"/>
    </x:row>
    <x:row r="15" ht="32" customHeight="1">
      <x:c r="A15" s="35" t="str">
        <x:v>4</x:v>
      </x:c>
      <x:c r="B15" s="35" t="str">
        <x:v>Use the score as a screening metric; AoE, spell impact, production mechanics and matchup context need simulation.</x:v>
      </x:c>
      <x:c r="C15" s="35"/>
      <x:c r="D15" s="35"/>
      <x:c r="E15" s="35"/>
      <x:c r="F15" s="35"/>
      <x:c r="G15" s="35"/>
      <x:c r="H15" s="35"/>
    </x:row>
  </x:sheetData>
  <x:mergeCells>
    <x:mergeCell ref="A1:V1"/>
    <x:mergeCell ref="A11:H11"/>
    <x:mergeCell ref="B12:H12"/>
    <x:mergeCell ref="B13:H13"/>
    <x:mergeCell ref="B14:H14"/>
    <x:mergeCell ref="B15:H15"/>
  </x:mergeCells>
  <x:conditionalFormatting sqref="T4:T9">
    <x:cfRule type="expression" dxfId="0" priority="1">
      <x:formula>T4="Strong"</x:formula>
    </x:cfRule>
    <x:cfRule type="expression" dxfId="1" priority="2">
      <x:formula>T4="Weak"</x:formula>
    </x:cfRule>
    <x:cfRule type="expression" dxfId="2" priority="3">
      <x:formula>T4="OK"</x:formula>
    </x:cfRule>
  </x:conditionalFormatting>
  <x:pageMargins left="0.7" right="0.7" top="0.75" bottom="0.75" header="0.3" footer="0.3"/>
  <x:drawing xmlns:r="http://schemas.openxmlformats.org/officeDocument/2006/relationships" r:id="Rc3de2615316846a7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SC2 Benchmark Samples &amp; What They Teach</x:v>
      </x:c>
    </x:row>
    <x:row r="3">
      <x:c r="A3" s="23" t="str">
        <x:v>Unit</x:v>
      </x:c>
      <x:c r="B3" s="23" t="str">
        <x:v>Cost (M/G/Supply/Build)</x:v>
      </x:c>
      <x:c r="C3" s="23" t="str">
        <x:v>Key stat profile</x:v>
      </x:c>
      <x:c r="D3" s="23" t="str">
        <x:v>Why it matters for model</x:v>
      </x:c>
      <x:c r="E3" s="23" t="str">
        <x:v>Observed balance lever</x:v>
      </x:c>
      <x:c r="F3" s="23" t="str">
        <x:v>Source</x:v>
      </x:c>
      <x:c r="G3" t="str"/>
      <x:c r="H3" s="11" t="str">
        <x:v>Source URL</x:v>
      </x:c>
    </x:row>
    <x:row r="4">
      <x:c r="A4" s="35" t="str">
        <x:v>Marine</x:v>
      </x:c>
      <x:c r="B4" s="35" t="str">
        <x:v>50 / 0 / 1 / 18</x:v>
      </x:c>
      <x:c r="C4" s="35" t="str">
        <x:v>9.8 DPS, range 5, speed 3.15</x:v>
      </x:c>
      <x:c r="D4" s="35" t="str">
        <x:v>Cleanest mineral-only T1 reference</x:v>
      </x:c>
      <x:c r="E4" s="35" t="str">
        <x:v>Cost, build time, range, Stim/HP</x:v>
      </x:c>
      <x:c r="F4" s="35"/>
      <x:c r="G4" s="35"/>
      <x:c r="H4" s="35" t="str">
        <x:v>https://liquipedia.net/starcraft2/Marine_(Legacy_of_the_Void)</x:v>
      </x:c>
    </x:row>
    <x:row r="5">
      <x:c r="A5" s="35" t="str">
        <x:v>Marauder</x:v>
      </x:c>
      <x:c r="B5" s="35" t="str">
        <x:v>100 / 25 / 2 / 21</x:v>
      </x:c>
      <x:c r="C5" s="35" t="str">
        <x:v>9.3 DPS; +9.3 DPS vs Armored; range 6</x:v>
      </x:c>
      <x:c r="D5" s="35" t="str">
        <x:v>Shows target-dependent DPS</x:v>
      </x:c>
      <x:c r="E5" s="35" t="str">
        <x:v>Cost, tech, build time, anti-armor</x:v>
      </x:c>
      <x:c r="F5" s="35"/>
      <x:c r="G5" s="35"/>
      <x:c r="H5" s="35" t="str">
        <x:v>https://liquipedia.net/starcraft2/Marauder_(Legacy_of_the_Void)</x:v>
      </x:c>
    </x:row>
    <x:row r="6">
      <x:c r="A6" s="35" t="str">
        <x:v>Zealot</x:v>
      </x:c>
      <x:c r="B6" s="35" t="str">
        <x:v>100 / 0 / 2 / 27</x:v>
      </x:c>
      <x:c r="C6" s="35" t="str">
        <x:v>18.6 DPS, 150 total HP+shield, melee</x:v>
      </x:c>
      <x:c r="D6" s="35" t="str">
        <x:v>Shows melee/range as a major trade-off</x:v>
      </x:c>
      <x:c r="E6" s="35" t="str">
        <x:v>Cost, speed, Charge</x:v>
      </x:c>
      <x:c r="F6" s="35"/>
      <x:c r="G6" s="35"/>
      <x:c r="H6" s="35" t="str">
        <x:v>https://liquipedia.net/starcraft2/Zealot</x:v>
      </x:c>
    </x:row>
    <x:row r="7">
      <x:c r="A7" s="35" t="str">
        <x:v>Stalker</x:v>
      </x:c>
      <x:c r="B7" s="35" t="str">
        <x:v>125 / 50 / 2 / 27</x:v>
      </x:c>
      <x:c r="C7" s="35" t="str">
        <x:v>9.7 DPS; +3.7 vs Armored; range 6; speed 4.13</x:v>
      </x:c>
      <x:c r="D7" s="35" t="str">
        <x:v>Shows AA + mobility premium</x:v>
      </x:c>
      <x:c r="E7" s="35" t="str">
        <x:v>Cost, Blink, build/wrap timing</x:v>
      </x:c>
      <x:c r="F7" s="35"/>
      <x:c r="G7" s="35"/>
      <x:c r="H7" s="35" t="str">
        <x:v>https://liquipedia.net/starcraft2/Stalker_(Legacy_of_the_Void)</x:v>
      </x:c>
    </x:row>
    <x:row r="8">
      <x:c r="A8" s="35" t="str">
        <x:v>Immortal</x:v>
      </x:c>
      <x:c r="B8" s="35" t="str">
        <x:v>250 / 100 / 4 / 39</x:v>
      </x:c>
      <x:c r="C8" s="35" t="str">
        <x:v>17.5 DPS; +26.25 vs Armored; 300 EHP</x:v>
      </x:c>
      <x:c r="D8" s="35" t="str">
        <x:v>Shows specialization + durability</x:v>
      </x:c>
      <x:c r="E8" s="35" t="str">
        <x:v>Cost, supply, Barrier, anti-armor</x:v>
      </x:c>
      <x:c r="F8" s="35"/>
      <x:c r="G8" s="35"/>
      <x:c r="H8" s="35" t="str">
        <x:v>https://liquipedia.net/starcraft2/Immortal_(Legacy_of_the_Void)</x:v>
      </x:c>
    </x:row>
    <x:row r="9">
      <x:c r="A9" s="35" t="str">
        <x:v>Siege Tank</x:v>
      </x:c>
      <x:c r="B9" s="35" t="str">
        <x:v>150 / 125 / 3 / 32</x:v>
      </x:c>
      <x:c r="C9" s="35" t="str">
        <x:v>20.27 tank DPS; range 13 in siege; splash</x:v>
      </x:c>
      <x:c r="D9" s="35" t="str">
        <x:v>Shows AoE/range cannot be scored from base DPS alone</x:v>
      </x:c>
      <x:c r="E9" s="35" t="str">
        <x:v>Mode transform, splash, range, cost</x:v>
      </x:c>
      <x:c r="F9" s="35"/>
      <x:c r="G9" s="35"/>
      <x:c r="H9" s="35" t="str">
        <x:v>https://liquipedia.net/starcraft2/Siege_Tank_(Legacy_of_the_Void)</x:v>
      </x:c>
    </x:row>
    <x:row r="10">
      <x:c r="H10" t="str">
        <x:v>https://liquipedia.net/starcraft2/Marine_(Legacy_of_the_Void)</x:v>
      </x:c>
    </x:row>
    <x:row r="11">
      <x:c r="H11" t="str">
        <x:v>https://liquipedia.net/starcraft2/Marauder_(Legacy_of_the_Void)</x:v>
      </x:c>
    </x:row>
    <x:row r="12">
      <x:c r="H12" t="str">
        <x:v>https://liquipedia.net/starcraft2/Zealot</x:v>
      </x:c>
    </x:row>
    <x:row r="13">
      <x:c r="H13" t="str">
        <x:v>https://liquipedia.net/starcraft2/Stalker_(Legacy_of_the_Void)</x:v>
      </x:c>
    </x:row>
    <x:row r="14">
      <x:c r="H14" t="str">
        <x:v>https://liquipedia.net/starcraft2/Immortal_(Legacy_of_the_Void)</x:v>
      </x:c>
    </x:row>
    <x:row r="15">
      <x:c r="H15" t="str">
        <x:v>https://liquipedia.net/starcraft2/Siege_Tank_(Legacy_of_the_Void)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Framework — Notes &amp; Sources</x:v>
      </x:c>
      <x:c r="B1" s="35"/>
    </x:row>
    <x:row r="3">
      <x:c r="A3" s="14" t="str">
        <x:v>Purpose</x:v>
      </x:c>
      <x:c r="B3" t="str">
        <x:v>A practical first-pass unit balance model for RTS design, inspired by SC2's multi-dimensional balance changes.</x:v>
      </x:c>
    </x:row>
    <x:row r="4">
      <x:c r="A4" s="14" t="str">
        <x:v>Core idea</x:v>
      </x:c>
      <x:c r="B4" t="str">
        <x:v>Do not collapse minerals, gas, supply and build time into one arbitrary fixed resource conversion.</x:v>
      </x:c>
    </x:row>
    <x:row r="5">
      <x:c r="A5" s="14" t="str">
        <x:v>Benchmark</x:v>
      </x:c>
      <x:c r="B5" t="str">
        <x:v>Marine is normalized to 1.00 on each normalized axis. This is a mathematical reference point, not an assertion that every SC2 unit should score exactly 1.00.</x:v>
      </x:c>
    </x:row>
    <x:row r="6">
      <x:c r="A6" s="14" t="str">
        <x:v>Economic model</x:v>
      </x:c>
      <x:c r="B6" t="str">
        <x:v>ResourceIdx = (Minerals + GasWeight×Gas) / Marine resource baseline.</x:v>
      </x:c>
    </x:row>
    <x:row r="7">
      <x:c r="A7" s="14" t="str">
        <x:v>Constraint model</x:v>
      </x:c>
      <x:c r="B7" t="str">
        <x:v>ConstraintIdx = normalized population + normalized build-time pressure.</x:v>
      </x:c>
    </x:row>
    <x:row r="8">
      <x:c r="A8" s="14" t="str">
        <x:v>Combat model</x:v>
      </x:c>
      <x:c r="B8" t="str">
        <x:v>Weighted normalized EHP, DPS, range, speed, armor, and a manual utility/ability bonus.</x:v>
      </x:c>
    </x:row>
    <x:row r="9">
      <x:c r="A9" s="14" t="str">
        <x:v>Total cost</x:v>
      </x:c>
      <x:c r="B9" t="str">
        <x:v>60% ResourceIdx + 40% ConstraintIdx. These weights are editable.</x:v>
      </x:c>
    </x:row>
    <x:row r="10">
      <x:c r="A10" s="14" t="str">
        <x:v>Balance score</x:v>
      </x:c>
      <x:c r="B10" t="str">
        <x:v>CombatIdx / TotalCostIdx. Use this as a screening flag, not as a complete matchup simulator.</x:v>
      </x:c>
    </x:row>
    <x:row r="11">
      <x:c r="A11" s="14" t="str">
        <x:v>Important limitation</x:v>
      </x:c>
      <x:c r="B11" t="str">
        <x:v>AoE, spell timing, production mechanics, map geometry, target composition and micro are not fully represented.</x:v>
      </x:c>
    </x:row>
    <x:row r="12">
      <x:c r="A12" s="14" t="str">
        <x:v>SC2 lesson</x:v>
      </x:c>
      <x:c r="B12" t="str">
        <x:v>Blizzard's patch notes repeatedly change cost, supply, build time, range, speed and health together; balance is multi-dimensional.</x:v>
      </x:c>
    </x:row>
    <x:row r="13">
      <x:c r="A13" s="14" t="str">
        <x:v>Current source snapshot</x:v>
      </x:c>
      <x:c r="B13" t="str">
        <x:v>SC2 5.0.16 and hotfix patch notes plus current Liquipedia unit pages, accessed Aug 12, 2026.</x:v>
      </x:c>
    </x:row>
    <x:row r="15">
      <x:c r="A15" s="11" t="str">
        <x:v>Source</x:v>
      </x:c>
      <x:c r="B15" s="11" t="str">
        <x:v>URL</x:v>
      </x:c>
    </x:row>
    <x:row r="16">
      <x:c r="A16" t="str">
        <x:v>Blizzard 5.0.16</x:v>
      </x:c>
      <x:c r="B16" t="str">
        <x:v>https://news.blizzard.com/en-us/article/24259080/starcraft-ii-5-0-16-patch-notes</x:v>
      </x:c>
    </x:row>
    <x:row r="17">
      <x:c r="A17" t="str">
        <x:v>Blizzard 5.0.16 Hotfix</x:v>
      </x:c>
      <x:c r="B17" t="str">
        <x:v>https://news.blizzard.com/en-gb/article/24289266/starcraft-ii-5-0-16-hotfix-patch-notes</x:v>
      </x:c>
    </x:row>
    <x:row r="18">
      <x:c r="A18" t="str">
        <x:v>Blizzard 5.0.12</x:v>
      </x:c>
      <x:c r="B18" t="str">
        <x:v>https://news.blizzard.com/en-us/article/24009150/starcraft-ii-5-0-12-patch-notes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48" hidden="0" customWidth="1"/>
  </x:cols>
  <x:sheetData>
    <x:row r="1">
      <x:c r="A1" s="43" t="str">
        <x:v>RTS / SC2 Unit Balance Calculator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9" t="str">
        <x:v>Role-aware + scenario-aware screening. 1.00 is the center reference, not an absolute truth.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48" t="str">
        <x:v>KPI</x:v>
      </x:c>
      <x:c r="B4" s="48" t="str">
        <x:v>Value</x:v>
      </x:c>
      <x:c r="C4" s="48" t="str">
        <x:v>Interpretation</x:v>
      </x:c>
      <x:c r="D4" s="48"/>
      <x:c r="E4" s="48" t="str">
        <x:v>Check</x:v>
      </x:c>
      <x:c r="F4" s="48" t="str">
        <x:v>Result</x:v>
      </x:c>
      <x:c r="G4" s="48" t="str">
        <x:v>Meaning</x:v>
      </x:c>
      <x:c r="H4" s="48"/>
      <x:c r="I4" s="48"/>
      <x:c r="J4" s="48"/>
    </x:row>
    <x:row r="5">
      <x:c r="A5" t="str">
        <x:v>Units modeled</x:v>
      </x:c>
      <x:c r="B5" t="n">
        <x:f>COUNTA('V2_Units'!A4:A13)</x:f>
        <x:v>10</x:v>
      </x:c>
      <x:c r="C5" t="str">
        <x:v>Representative SC2 anchors</x:v>
      </x:c>
      <x:c r="D5"/>
      <x:c r="E5" t="str">
        <x:v>Score &gt; 1.10</x:v>
      </x:c>
      <x:c r="F5" t="n">
        <x:f>COUNTIF('V2_Units'!AD4:AD13,"&gt;"&amp;'V2_Parameters'!B15)</x:f>
        <x:v>2</x:v>
      </x:c>
      <x:c r="G5" t="str">
        <x:v>Investigate over-efficiency</x:v>
      </x:c>
      <x:c r="H5"/>
      <x:c r="I5"/>
      <x:c r="J5"/>
    </x:row>
    <x:row r="6">
      <x:c r="A6" t="str">
        <x:v>Average static score</x:v>
      </x:c>
      <x:c r="B6" s="16" t="n">
        <x:f>AVERAGE('V2_Units'!AD4:AD13)</x:f>
        <x:v>1.0346339329896908</x:v>
      </x:c>
      <x:c r="C6" t="str">
        <x:v>Cross-role reference only</x:v>
      </x:c>
      <x:c r="D6"/>
      <x:c r="E6" t="str">
        <x:v>Score &lt; 0.90</x:v>
      </x:c>
      <x:c r="F6" t="n">
        <x:f>COUNTIF('V2_Units'!AD4:AD13,"&lt;"&amp;'V2_Parameters'!B14)</x:f>
        <x:v>0</x:v>
      </x:c>
      <x:c r="G6" t="str">
        <x:v>Investigate under-efficiency</x:v>
      </x:c>
      <x:c r="H6"/>
      <x:c r="I6"/>
      <x:c r="J6"/>
    </x:row>
    <x:row r="7">
      <x:c r="A7" t="str">
        <x:v>Average scenario score</x:v>
      </x:c>
      <x:c r="B7" s="16" t="n">
        <x:f>AVERAGE('V2_Matrix'!Q4:Q93)</x:f>
        <x:v>0.9442139845282489</x:v>
      </x:c>
      <x:c r="C7" t="str">
        <x:v>Across unit × scenario cells</x:v>
      </x:c>
      <x:c r="D7"/>
      <x:c r="E7" t="str">
        <x:v>Scenario spread &gt; 0.25</x:v>
      </x:c>
      <x:c r="F7" t="n">
        <x:f>COUNTIF(F11:F20,"&gt;0.25")</x:f>
        <x:v>8</x:v>
      </x:c>
      <x:c r="G7" t="str">
        <x:v>Strong context dependence</x:v>
      </x:c>
      <x:c r="H7"/>
      <x:c r="I7"/>
      <x:c r="J7"/>
    </x:row>
    <x:row r="8">
      <x:c r="A8" t="str">
        <x:v>Highest static score</x:v>
      </x:c>
      <x:c r="B8" s="16" t="n">
        <x:f>MAX('V2_Units'!AD4:AD13)</x:f>
        <x:v>1.11785</x:v>
      </x:c>
      <x:c r="C8" t="str">
        <x:v>Check input / role anchor</x:v>
      </x:c>
      <x:c r="D8"/>
      <x:c r="E8" t="str">
        <x:v>Units flagged</x:v>
      </x:c>
      <x:c r="F8" t="n">
        <x:f>COUNTIF(H11:H20,"CHECK")</x:f>
        <x:v>10</x:v>
      </x:c>
      <x:c r="G8" t="str">
        <x:v>Use matrix for diagnosis</x:v>
      </x:c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Unit</x:v>
      </x:c>
      <x:c r="B10" t="str">
        <x:v>Static Score</x:v>
      </x:c>
      <x:c r="C10" t="str">
        <x:v>Avg Scenario</x:v>
      </x:c>
      <x:c r="D10" t="str">
        <x:v>Min Scenario</x:v>
      </x:c>
      <x:c r="E10" t="str">
        <x:v>Max Scenario</x:v>
      </x:c>
      <x:c r="F10" t="str">
        <x:v>Spread</x:v>
      </x:c>
      <x:c r="G10" t="str">
        <x:v>Primary role</x:v>
      </x:c>
      <x:c r="H10" t="str">
        <x:v>Flag</x:v>
      </x:c>
      <x:c r="I10" t="str">
        <x:v>Source</x:v>
      </x:c>
      <x:c r="J10" t="str"/>
    </x:row>
    <x:row r="11">
      <x:c r="A11" t="str">
        <x:f>'V2_Units'!A4</x:f>
        <x:v>Marine</x:v>
      </x:c>
      <x:c r="B11" s="16" t="n">
        <x:f>'V2_Units'!AD4</x:f>
        <x:v>1</x:v>
      </x:c>
      <x:c r="C11" s="16" t="n">
        <x:f>AVERAGEIF('V2_Matrix'!A4:A93,A11,'V2_Matrix'!Q4:Q93)</x:f>
        <x:v>0.8473525</x:v>
      </x:c>
      <x:c r="D11" s="16" t="n">
        <x:f>MINIFS('V2_Matrix'!Q4:Q93,'V2_Matrix'!A4:A93,A11)</x:f>
        <x:v>0.78715</x:v>
      </x:c>
      <x:c r="E11" s="16" t="n">
        <x:f>MAXIFS('V2_Matrix'!Q4:Q93,'V2_Matrix'!A4:A93,A11)</x:f>
        <x:v>0.92785</x:v>
      </x:c>
      <x:c r="F11" s="16" t="n">
        <x:f>E11-D11</x:f>
        <x:v>0.14069999999999994</x:v>
      </x:c>
      <x:c r="G11" t="str">
        <x:f>'V2_Units'!B4</x:f>
        <x:v>General DPS</x:v>
      </x:c>
      <x:c r="H11" t="str">
        <x:f>IF(OR(B11&gt;'V2_Parameters'!B15,B11&lt;'V2_Parameters'!B14,C11&gt;'V2_Parameters'!B15,C11&lt;'V2_Parameters'!B14,F11&gt;0.25),"CHECK","OK")</x:f>
        <x:v>CHECK</x:v>
      </x:c>
      <x:c r="I11" t="str">
        <x:f>'V2_Units'!AF4</x:f>
        <x:v>https://liquipedia.net/starcraft2/Marine_(Legacy_of_the_Void)</x:v>
      </x:c>
      <x:c r="J11"/>
    </x:row>
    <x:row r="12">
      <x:c r="A12" t="str">
        <x:f>'V2_Units'!A5</x:f>
        <x:v>Marauder</x:v>
      </x:c>
      <x:c r="B12" s="16" t="n">
        <x:f>'V2_Units'!AD5</x:f>
        <x:v>1.1108</x:v>
      </x:c>
      <x:c r="C12" s="16" t="n">
        <x:f>AVERAGEIF('V2_Matrix'!A4:A93,A12,'V2_Matrix'!Q4:Q93)</x:f>
        <x:v>1.4027981753426992</x:v>
      </x:c>
      <x:c r="D12" s="16" t="n">
        <x:f>MINIFS('V2_Matrix'!Q4:Q93,'V2_Matrix'!A4:A93,A12)</x:f>
        <x:v>1.1230887120857997</x:v>
      </x:c>
      <x:c r="E12" s="16" t="n">
        <x:f>MAXIFS('V2_Matrix'!Q4:Q93,'V2_Matrix'!A4:A93,A12)</x:f>
        <x:v>2.1790525180538243</x:v>
      </x:c>
      <x:c r="F12" s="16" t="n">
        <x:f>E12-D12</x:f>
        <x:v>1.0559638059680245</x:v>
      </x:c>
      <x:c r="G12" t="str">
        <x:f>'V2_Units'!B5</x:f>
        <x:v>Anti-Armor</x:v>
      </x:c>
      <x:c r="H12" t="str">
        <x:f>IF(OR(B12&gt;'V2_Parameters'!B15,B12&lt;'V2_Parameters'!B14,C12&gt;'V2_Parameters'!B15,C12&lt;'V2_Parameters'!B14,F12&gt;0.25),"CHECK","OK")</x:f>
        <x:v>CHECK</x:v>
      </x:c>
      <x:c r="I12" t="str">
        <x:f>'V2_Units'!AF5</x:f>
        <x:v>https://liquipedia.net/starcraft2/Marauder_(Legacy_of_the_Void)</x:v>
      </x:c>
      <x:c r="J12"/>
    </x:row>
    <x:row r="13">
      <x:c r="A13" t="str">
        <x:f>'V2_Units'!A6</x:f>
        <x:v>Zealot</x:v>
      </x:c>
      <x:c r="B13" s="16" t="n">
        <x:f>'V2_Units'!AD6</x:f>
        <x:v>1.01071</x:v>
      </x:c>
      <x:c r="C13" s="16" t="n">
        <x:f>AVERAGEIF('V2_Matrix'!A4:A93,A13,'V2_Matrix'!Q4:Q93)</x:f>
        <x:v>0.6598077062616607</x:v>
      </x:c>
      <x:c r="D13" s="16" t="n">
        <x:f>MINIFS('V2_Matrix'!Q4:Q93,'V2_Matrix'!A4:A93,A13)</x:f>
        <x:v>0.16971572106681496</x:v>
      </x:c>
      <x:c r="E13" s="16" t="n">
        <x:f>MAXIFS('V2_Matrix'!Q4:Q93,'V2_Matrix'!A4:A93,A13)</x:f>
        <x:v>0.800070737359877</x:v>
      </x:c>
      <x:c r="F13" s="16" t="n">
        <x:f>E13-D13</x:f>
        <x:v>0.630355016293062</x:v>
      </x:c>
      <x:c r="G13" t="str">
        <x:f>'V2_Units'!B6</x:f>
        <x:v>Frontline</x:v>
      </x:c>
      <x:c r="H13" t="str">
        <x:f>IF(OR(B13&gt;'V2_Parameters'!B15,B13&lt;'V2_Parameters'!B14,C13&gt;'V2_Parameters'!B15,C13&lt;'V2_Parameters'!B14,F13&gt;0.25),"CHECK","OK")</x:f>
        <x:v>CHECK</x:v>
      </x:c>
      <x:c r="I13" t="str">
        <x:f>'V2_Units'!AF6</x:f>
        <x:v>https://liquipedia.net/starcraft2/Zealot</x:v>
      </x:c>
      <x:c r="J13"/>
    </x:row>
    <x:row r="14">
      <x:c r="A14" t="str">
        <x:f>'V2_Units'!A7</x:f>
        <x:v>Stalker</x:v>
      </x:c>
      <x:c r="B14" s="16" t="n">
        <x:f>'V2_Units'!AD7</x:f>
        <x:v>1.0539843298969072</x:v>
      </x:c>
      <x:c r="C14" s="16" t="n">
        <x:f>AVERAGEIF('V2_Matrix'!A4:A93,A14,'V2_Matrix'!Q4:Q93)</x:f>
        <x:v>1.0736086043210291</x:v>
      </x:c>
      <x:c r="D14" s="16" t="n">
        <x:f>MINIFS('V2_Matrix'!Q4:Q93,'V2_Matrix'!A4:A93,A14)</x:f>
        <x:v>0.8957043912527494</x:v>
      </x:c>
      <x:c r="E14" s="16" t="n">
        <x:f>MAXIFS('V2_Matrix'!Q4:Q93,'V2_Matrix'!A4:A93,A14)</x:f>
        <x:v>1.3497503164084133</x:v>
      </x:c>
      <x:c r="F14" s="16" t="n">
        <x:f>E14-D14</x:f>
        <x:v>0.4540459251556639</x:v>
      </x:c>
      <x:c r="G14" t="str">
        <x:f>'V2_Units'!B7</x:f>
        <x:v>Mobile General</x:v>
      </x:c>
      <x:c r="H14" t="str">
        <x:f>IF(OR(B14&gt;'V2_Parameters'!B15,B14&lt;'V2_Parameters'!B14,C14&gt;'V2_Parameters'!B15,C14&lt;'V2_Parameters'!B14,F14&gt;0.25),"CHECK","OK")</x:f>
        <x:v>CHECK</x:v>
      </x:c>
      <x:c r="I14" t="str">
        <x:f>'V2_Units'!AF7</x:f>
        <x:v>https://liquipedia.net/starcraft2/Stalker_(Legacy_of_the_Void)</x:v>
      </x:c>
      <x:c r="J14"/>
    </x:row>
    <x:row r="15">
      <x:c r="A15" t="str">
        <x:f>'V2_Units'!A8</x:f>
        <x:v>Zergling</x:v>
      </x:c>
      <x:c r="B15" s="16" t="n">
        <x:f>'V2_Units'!AD8</x:f>
        <x:v>1.006075</x:v>
      </x:c>
      <x:c r="C15" s="16" t="n">
        <x:f>AVERAGEIF('V2_Matrix'!A4:A93,A15,'V2_Matrix'!Q4:Q93)</x:f>
        <x:v>0.7498802203418026</x:v>
      </x:c>
      <x:c r="D15" s="16" t="n">
        <x:f>MINIFS('V2_Matrix'!Q4:Q93,'V2_Matrix'!A4:A93,A15)</x:f>
        <x:v>0.1834914583834062</x:v>
      </x:c>
      <x:c r="E15" s="16" t="n">
        <x:f>MAXIFS('V2_Matrix'!Q4:Q93,'V2_Matrix'!A4:A93,A15)</x:f>
        <x:v>0.942005599676568</x:v>
      </x:c>
      <x:c r="F15" s="16" t="n">
        <x:f>E15-D15</x:f>
        <x:v>0.7585141412931619</x:v>
      </x:c>
      <x:c r="G15" t="str">
        <x:f>'V2_Units'!B8</x:f>
        <x:v>Swarm</x:v>
      </x:c>
      <x:c r="H15" t="str">
        <x:f>IF(OR(B15&gt;'V2_Parameters'!B15,B15&lt;'V2_Parameters'!B14,C15&gt;'V2_Parameters'!B15,C15&lt;'V2_Parameters'!B14,F15&gt;0.25),"CHECK","OK")</x:f>
        <x:v>CHECK</x:v>
      </x:c>
      <x:c r="I15" t="str">
        <x:f>'V2_Units'!AF8</x:f>
        <x:v>https://liquipedia.net/starcraft2/Zergling</x:v>
      </x:c>
      <x:c r="J15"/>
    </x:row>
    <x:row r="16">
      <x:c r="A16" t="str">
        <x:f>'V2_Units'!A9</x:f>
        <x:v>Roach</x:v>
      </x:c>
      <x:c r="B16" s="16" t="n">
        <x:f>'V2_Units'!AD9</x:f>
        <x:v>1.003375</x:v>
      </x:c>
      <x:c r="C16" s="16" t="n">
        <x:f>AVERAGEIF('V2_Matrix'!A4:A93,A16,'V2_Matrix'!Q4:Q93)</x:f>
        <x:v>0.6076231966459331</x:v>
      </x:c>
      <x:c r="D16" s="16" t="n">
        <x:f>MINIFS('V2_Matrix'!Q4:Q93,'V2_Matrix'!A4:A93,A16)</x:f>
        <x:v>0.1614704829417968</x:v>
      </x:c>
      <x:c r="E16" s="16" t="n">
        <x:f>MAXIFS('V2_Matrix'!Q4:Q93,'V2_Matrix'!A4:A93,A16)</x:f>
        <x:v>0.7653813776772657</x:v>
      </x:c>
      <x:c r="F16" s="16" t="n">
        <x:f>E16-D16</x:f>
        <x:v>0.6039108947354689</x:v>
      </x:c>
      <x:c r="G16" t="str">
        <x:f>'V2_Units'!B9</x:f>
        <x:v>Durable Assault</x:v>
      </x:c>
      <x:c r="H16" t="str">
        <x:f>IF(OR(B16&gt;'V2_Parameters'!B15,B16&lt;'V2_Parameters'!B14,C16&gt;'V2_Parameters'!B15,C16&lt;'V2_Parameters'!B14,F16&gt;0.25),"CHECK","OK")</x:f>
        <x:v>CHECK</x:v>
      </x:c>
      <x:c r="I16" t="str">
        <x:f>'V2_Units'!AF9</x:f>
        <x:v>https://liquipedia.net/starcraft2/Roach_(Legacy_of_the_Void)</x:v>
      </x:c>
      <x:c r="J16"/>
    </x:row>
    <x:row r="17">
      <x:c r="A17" t="str">
        <x:f>'V2_Units'!A10</x:f>
        <x:v>Hydralisk</x:v>
      </x:c>
      <x:c r="B17" s="16" t="n">
        <x:f>'V2_Units'!AD10</x:f>
        <x:v>1.00648</x:v>
      </x:c>
      <x:c r="C17" s="16" t="n">
        <x:f>AVERAGEIF('V2_Matrix'!A4:A93,A17,'V2_Matrix'!Q4:Q93)</x:f>
        <x:v>0.862877546402816</x:v>
      </x:c>
      <x:c r="D17" s="16" t="n">
        <x:f>MINIFS('V2_Matrix'!Q4:Q93,'V2_Matrix'!A4:A93,A17)</x:f>
        <x:v>0.76859581099648</x:v>
      </x:c>
      <x:c r="E17" s="16" t="n">
        <x:f>MAXIFS('V2_Matrix'!Q4:Q93,'V2_Matrix'!A4:A93,A17)</x:f>
        <x:v>0.9713966966717441</x:v>
      </x:c>
      <x:c r="F17" s="16" t="n">
        <x:f>E17-D17</x:f>
        <x:v>0.2028008856752641</x:v>
      </x:c>
      <x:c r="G17" t="str">
        <x:f>'V2_Units'!B10</x:f>
        <x:v>Ranged DPS</x:v>
      </x:c>
      <x:c r="H17" t="str">
        <x:f>IF(OR(B17&gt;'V2_Parameters'!B15,B17&lt;'V2_Parameters'!B14,C17&gt;'V2_Parameters'!B15,C17&lt;'V2_Parameters'!B14,F17&gt;0.25),"CHECK","OK")</x:f>
        <x:v>CHECK</x:v>
      </x:c>
      <x:c r="I17" t="str">
        <x:f>'V2_Units'!AF10</x:f>
        <x:v>https://liquipedia.net/starcraft2/Hydralisk_(Legacy_of_the_Void)</x:v>
      </x:c>
      <x:c r="J17"/>
    </x:row>
    <x:row r="18">
      <x:c r="A18" t="str">
        <x:f>'V2_Units'!A11</x:f>
        <x:v>Immortal</x:v>
      </x:c>
      <x:c r="B18" s="16" t="n">
        <x:f>'V2_Units'!AD11</x:f>
        <x:v>1.11785</x:v>
      </x:c>
      <x:c r="C18" s="16" t="n">
        <x:f>AVERAGEIF('V2_Matrix'!A4:A93,A18,'V2_Matrix'!Q4:Q93)</x:f>
        <x:v>1.2029581312124973</x:v>
      </x:c>
      <x:c r="D18" s="16" t="n">
        <x:f>MINIFS('V2_Matrix'!Q4:Q93,'V2_Matrix'!A4:A93,A18)</x:f>
        <x:v>0.4333822881882813</x:v>
      </x:c>
      <x:c r="E18" s="16" t="n">
        <x:f>MAXIFS('V2_Matrix'!Q4:Q93,'V2_Matrix'!A4:A93,A18)</x:f>
        <x:v>2.4476790127910752</x:v>
      </x:c>
      <x:c r="F18" s="16" t="n">
        <x:f>E18-D18</x:f>
        <x:v>2.014296724602794</x:v>
      </x:c>
      <x:c r="G18" t="str">
        <x:f>'V2_Units'!B11</x:f>
        <x:v>Premium Anti-Armor</x:v>
      </x:c>
      <x:c r="H18" t="str">
        <x:f>IF(OR(B18&gt;'V2_Parameters'!B15,B18&lt;'V2_Parameters'!B14,C18&gt;'V2_Parameters'!B15,C18&lt;'V2_Parameters'!B14,F18&gt;0.25),"CHECK","OK")</x:f>
        <x:v>CHECK</x:v>
      </x:c>
      <x:c r="I18" t="str">
        <x:f>'V2_Units'!AF11</x:f>
        <x:v>https://liquipedia.net/starcraft2/Immortal_(Legacy_of_the_Void)</x:v>
      </x:c>
      <x:c r="J18"/>
    </x:row>
    <x:row r="19">
      <x:c r="A19" t="str">
        <x:f>'V2_Units'!A12</x:f>
        <x:v>Siege Tank</x:v>
      </x:c>
      <x:c r="B19" s="16" t="n">
        <x:f>'V2_Units'!AD12</x:f>
        <x:v>1.02205</x:v>
      </x:c>
      <x:c r="C19" s="16" t="n">
        <x:f>AVERAGEIF('V2_Matrix'!A4:A93,A19,'V2_Matrix'!Q4:Q93)</x:f>
        <x:v>1.0757632297079054</x:v>
      </x:c>
      <x:c r="D19" s="16" t="n">
        <x:f>MINIFS('V2_Matrix'!Q4:Q93,'V2_Matrix'!A4:A93,A19)</x:f>
        <x:v>0.24434218778571926</x:v>
      </x:c>
      <x:c r="E19" s="16" t="n">
        <x:f>MAXIFS('V2_Matrix'!Q4:Q93,'V2_Matrix'!A4:A93,A19)</x:f>
        <x:v>1.8435175381537254</x:v>
      </x:c>
      <x:c r="F19" s="16" t="n">
        <x:f>E19-D19</x:f>
        <x:v>1.5991753503680062</x:v>
      </x:c>
      <x:c r="G19" t="str">
        <x:f>'V2_Units'!B12</x:f>
        <x:v>Siege / AOE</x:v>
      </x:c>
      <x:c r="H19" t="str">
        <x:f>IF(OR(B19&gt;'V2_Parameters'!B15,B19&lt;'V2_Parameters'!B14,C19&gt;'V2_Parameters'!B15,C19&lt;'V2_Parameters'!B14,F19&gt;0.25),"CHECK","OK")</x:f>
        <x:v>CHECK</x:v>
      </x:c>
      <x:c r="I19" t="str">
        <x:f>'V2_Units'!AF12</x:f>
        <x:v>https://liquipedia.net/starcraft2/Siege_Tank_(Legacy_of_the_Void)</x:v>
      </x:c>
      <x:c r="J19"/>
    </x:row>
    <x:row r="20">
      <x:c r="A20" t="str">
        <x:f>'V2_Units'!A13</x:f>
        <x:v>Colossus</x:v>
      </x:c>
      <x:c r="B20" s="16" t="n">
        <x:f>'V2_Units'!AD13</x:f>
        <x:v>1.015015</x:v>
      </x:c>
      <x:c r="C20" s="16" t="n">
        <x:f>AVERAGEIF('V2_Matrix'!A4:A93,A20,'V2_Matrix'!Q4:Q93)</x:f>
        <x:v>0.9594705350461431</x:v>
      </x:c>
      <x:c r="D20" s="16" t="n">
        <x:f>MINIFS('V2_Matrix'!Q4:Q93,'V2_Matrix'!A4:A93,A20)</x:f>
        <x:v>0.21497906505741127</x:v>
      </x:c>
      <x:c r="E20" s="16" t="n">
        <x:f>MAXIFS('V2_Matrix'!Q4:Q93,'V2_Matrix'!A4:A93,A20)</x:f>
        <x:v>1.7886850427736318</x:v>
      </x:c>
      <x:c r="F20" s="16" t="n">
        <x:f>E20-D20</x:f>
        <x:v>1.5737059777162206</x:v>
      </x:c>
      <x:c r="G20" t="str">
        <x:f>'V2_Units'!B13</x:f>
        <x:v>Premium AOE</x:v>
      </x:c>
      <x:c r="H20" t="str">
        <x:f>IF(OR(B20&gt;'V2_Parameters'!B15,B20&lt;'V2_Parameters'!B14,C20&gt;'V2_Parameters'!B15,C20&lt;'V2_Parameters'!B14,F20&gt;0.25),"CHECK","OK")</x:f>
        <x:v>CHECK</x:v>
      </x:c>
      <x:c r="I20" t="str">
        <x:f>'V2_Units'!AF13</x:f>
        <x:v>https://liquipedia.net/starcraft2/Colossus_(Legacy_of_the_Void)</x:v>
      </x:c>
      <x:c r="J20"/>
    </x:row>
    <x:row r="23">
      <x:c r="A23" s="53" t="str">
        <x:v>Model note</x:v>
      </x:c>
      <x:c r="B23" s="35" t="str">
        <x:v>V2 separates static unit value from scenario value; do not treat one score as final balance.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53" t="str">
        <x:v>Red flags</x:v>
      </x:c>
      <x:c r="B24" s="35" t="str">
        <x:v>Score outside 0.90–1.10, or scenario spread &gt; 0.25, triggers investigation rather than automatic nerf/buff.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53" t="str">
        <x:v>Next calibration</x:v>
      </x:c>
      <x:c r="B25" s="35" t="str">
        <x:v>Replace proxy collision/skill/formation coefficients with replay telemetry or combat simulation.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B23:J25"/>
    <x:mergeCell ref="B24:J24"/>
    <x:mergeCell ref="B25:J25"/>
  </x:mergeCells>
  <x:conditionalFormatting sqref="B11:F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ac1de7de17a740df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9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4" hidden="0" customWidth="1"/>
    <x:col min="21" max="21" width="8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8" hidden="0" customWidth="1"/>
    <x:col min="32" max="32" width="48" hidden="0" customWidth="1"/>
  </x:cols>
  <x:sheetData>
    <x:row r="1">
      <x:c r="A1" s="43" t="str">
        <x:v>V2 Unit Inputs &amp; Calculations — yellow columns are editable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H1" t="n">
        <x:f>VLOOKUP("T2",'V2_Parameters'!$E$4:$F$6,2,FALSE)</x:f>
        <x:v>1.05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 s="48" t="str">
        <x:v>Unit</x:v>
      </x:c>
      <x:c r="B3" s="48" t="str">
        <x:v>Archetype</x:v>
      </x:c>
      <x:c r="C3" s="48" t="str">
        <x:v>Benchmark</x:v>
      </x:c>
      <x:c r="D3" s="48" t="str">
        <x:v>M</x:v>
      </x:c>
      <x:c r="E3" s="48" t="str">
        <x:v>G</x:v>
      </x:c>
      <x:c r="F3" s="48" t="str">
        <x:v>Supply</x:v>
      </x:c>
      <x:c r="G3" s="48" t="str">
        <x:v>Build s</x:v>
      </x:c>
      <x:c r="H3" s="48" t="str">
        <x:v>HP</x:v>
      </x:c>
      <x:c r="I3" s="48" t="str">
        <x:v>Shield</x:v>
      </x:c>
      <x:c r="J3" s="48" t="str">
        <x:v>Armor</x:v>
      </x:c>
      <x:c r="K3" s="48" t="str">
        <x:v>DPS G</x:v>
      </x:c>
      <x:c r="L3" s="48" t="str">
        <x:v>DPS A</x:v>
      </x:c>
      <x:c r="M3" s="48" t="str">
        <x:v>Range</x:v>
      </x:c>
      <x:c r="N3" s="48" t="str">
        <x:v>Speed</x:v>
      </x:c>
      <x:c r="O3" s="48" t="str">
        <x:v>Armored Bonus DPS</x:v>
      </x:c>
      <x:c r="P3" s="48" t="str">
        <x:v>AOE Target Mult</x:v>
      </x:c>
      <x:c r="Q3" s="48" t="str">
        <x:v>Collision Impact</x:v>
      </x:c>
      <x:c r="R3" s="48" t="str">
        <x:v>Skill Impact</x:v>
      </x:c>
      <x:c r="S3" s="48" t="str">
        <x:v>Skill Uptime</x:v>
      </x:c>
      <x:c r="T3" s="48" t="str">
        <x:v>Skill Counterplay</x:v>
      </x:c>
      <x:c r="U3" s="48" t="str">
        <x:v>Tech</x:v>
      </x:c>
      <x:c r="V3" s="48" t="str">
        <x:v>Utility</x:v>
      </x:c>
      <x:c r="W3" s="48" t="str">
        <x:v>EHP</x:v>
      </x:c>
      <x:c r="X3" s="48" t="str">
        <x:v>BaseCombatIdx</x:v>
      </x:c>
      <x:c r="Y3" s="48" t="str">
        <x:v>ResourceIdx</x:v>
      </x:c>
      <x:c r="Z3" s="48" t="str">
        <x:v>ConstraintIdx</x:v>
      </x:c>
      <x:c r="AA3" s="48" t="str">
        <x:v>TechCostIdx</x:v>
      </x:c>
      <x:c r="AB3" s="48" t="str">
        <x:v>TotalCostIdx</x:v>
      </x:c>
      <x:c r="AC3" s="48" t="str">
        <x:v>RoleFitBase</x:v>
      </x:c>
      <x:c r="AD3" s="48" t="str">
        <x:v>StaticScore</x:v>
      </x:c>
      <x:c r="AE3" s="48" t="str">
        <x:v>Notes</x:v>
      </x:c>
      <x:c r="AF3" s="48" t="str">
        <x:v>Source</x:v>
      </x:c>
    </x:row>
    <x:row r="4">
      <x:c r="A4" s="50" t="str">
        <x:v>Marine</x:v>
      </x:c>
      <x:c r="B4" s="50" t="str">
        <x:v>General DPS</x:v>
      </x:c>
      <x:c r="C4" s="50" t="str">
        <x:v>Marine</x:v>
      </x:c>
      <x:c r="D4" s="50" t="n">
        <x:v>50</x:v>
      </x:c>
      <x:c r="E4" s="50" t="n">
        <x:v>0</x:v>
      </x:c>
      <x:c r="F4" s="50" t="n">
        <x:v>1</x:v>
      </x:c>
      <x:c r="G4" s="50" t="n">
        <x:v>18</x:v>
      </x:c>
      <x:c r="H4" s="50" t="n">
        <x:v>45</x:v>
      </x:c>
      <x:c r="I4" s="50" t="n">
        <x:v>0</x:v>
      </x:c>
      <x:c r="J4" s="50" t="n">
        <x:v>0</x:v>
      </x:c>
      <x:c r="K4" s="50" t="n">
        <x:v>9.8</x:v>
      </x:c>
      <x:c r="L4" s="50" t="n">
        <x:v>9.8</x:v>
      </x:c>
      <x:c r="M4" s="50" t="n">
        <x:v>5</x:v>
      </x:c>
      <x:c r="N4" s="50" t="n">
        <x:v>3.15</x:v>
      </x:c>
      <x:c r="O4" s="50" t="n">
        <x:v>0</x:v>
      </x:c>
      <x:c r="P4" s="50" t="n">
        <x:v>1</x:v>
      </x:c>
      <x:c r="Q4" s="50" t="n">
        <x:v>0.18</x:v>
      </x:c>
      <x:c r="R4" s="50" t="n">
        <x:v>0</x:v>
      </x:c>
      <x:c r="S4" s="50" t="n">
        <x:v>0</x:v>
      </x:c>
      <x:c r="T4" s="50" t="n">
        <x:v>0</x:v>
      </x:c>
      <x:c r="U4" s="50" t="str">
        <x:v>T1</x:v>
      </x:c>
      <x:c r="V4" s="50" t="n">
        <x:v>0</x:v>
      </x:c>
      <x:c r="W4" s="51" t="n">
        <x:f>H4+I4</x:f>
        <x:v>45</x:v>
      </x:c>
      <x:c r="X4" s="54" t="n">
        <x:f>0.25*(W4/SUMIF($A$4:$A$13,$C4,$W$4:$W$13))+0.30*((K4+0.5*L4)/MAX(0.01,SUMIF($A$4:$A$13,$C4,$K$4:$K$13)+0.5*SUMIF($A$4:$A$13,$C4,$L$4:$L$13)))+0.08*(M4/SUMIF($A$4:$A$13,$C4,$M$4:$M$13))+0.07*(N4/SUMIF($A$4:$A$13,$C4,$N$4:$N$13))+0.05*((J4+1)/(SUMIF($A$4:$A$13,$C4,$J$4:$J$13)+1))+0.10*(1+MIN(1,O4/MAX(1,K4)) )+0.15*(1+R4*S4*(1-T4))</x:f>
        <x:v>1</x:v>
      </x:c>
      <x:c r="Y4" s="54" t="n">
        <x:f>(D4+'V2_Parameters'!$B$5*E4)/MAX(0.01,SUMIF($A$4:$A$13,$C4,$D$4:$D$13)+'V2_Parameters'!$B$5*SUMIF($A$4:$A$13,$C4,$E$4:$E$13))</x:f>
        <x:v>1</x:v>
      </x:c>
      <x:c r="Z4" s="54" t="n">
        <x:f>'V2_Parameters'!$B$8*(F4/SUMIF($A$4:$A$13,$C4,$F$4:$F$13))+'V2_Parameters'!$B$9*(G4/SUMIF($A$4:$A$13,$C4,$G$4:$G$13))</x:f>
        <x:v>1</x:v>
      </x:c>
      <x:c r="AA4" s="54" t="n">
        <x:f>VLOOKUP(U4,'V2_Parameters'!$E$4:$F$6,2,FALSE)/VLOOKUP(VLOOKUP(C4,$A$4:$U$13,21,FALSE),'V2_Parameters'!$E$4:$F$6,2,FALSE)</x:f>
        <x:v>1</x:v>
      </x:c>
      <x:c r="AB4" s="54" t="n">
        <x:f>AA4*('V2_Parameters'!$B$8*Y4+'V2_Parameters'!$B$9*Z4)</x:f>
        <x:v>1</x:v>
      </x:c>
      <x:c r="AC4" s="54" t="n">
        <x:f>1+0.20*V4</x:f>
        <x:v>1</x:v>
      </x:c>
      <x:c r="AD4" s="54" t="n">
        <x:f>X4/AB4*AC4</x:f>
        <x:v>1</x:v>
      </x:c>
      <x:c r="AE4" t="str">
        <x:v>Baseline general ranged</x:v>
      </x:c>
      <x:c r="AF4" t="str">
        <x:v>https://liquipedia.net/starcraft2/Marine_(Legacy_of_the_Void)</x:v>
      </x:c>
    </x:row>
    <x:row r="5">
      <x:c r="A5" s="50" t="str">
        <x:v>Marauder</x:v>
      </x:c>
      <x:c r="B5" s="50" t="str">
        <x:v>Anti-Armor</x:v>
      </x:c>
      <x:c r="C5" s="50" t="str">
        <x:v>Marauder</x:v>
      </x:c>
      <x:c r="D5" s="50" t="n">
        <x:v>100</x:v>
      </x:c>
      <x:c r="E5" s="50" t="n">
        <x:v>25</x:v>
      </x:c>
      <x:c r="F5" s="50" t="n">
        <x:v>2</x:v>
      </x:c>
      <x:c r="G5" s="50" t="n">
        <x:v>21</x:v>
      </x:c>
      <x:c r="H5" s="50" t="n">
        <x:v>125</x:v>
      </x:c>
      <x:c r="I5" s="50" t="n">
        <x:v>0</x:v>
      </x:c>
      <x:c r="J5" s="50" t="n">
        <x:v>1</x:v>
      </x:c>
      <x:c r="K5" s="50" t="n">
        <x:v>9.3</x:v>
      </x:c>
      <x:c r="L5" s="50" t="n">
        <x:v>9.3</x:v>
      </x:c>
      <x:c r="M5" s="50" t="n">
        <x:v>6</x:v>
      </x:c>
      <x:c r="N5" s="50" t="n">
        <x:v>3.15</x:v>
      </x:c>
      <x:c r="O5" s="50" t="n">
        <x:v>9.3</x:v>
      </x:c>
      <x:c r="P5" s="50" t="n">
        <x:v>1</x:v>
      </x:c>
      <x:c r="Q5" s="50" t="n">
        <x:v>0.28</x:v>
      </x:c>
      <x:c r="R5" s="50" t="n">
        <x:v>0.12</x:v>
      </x:c>
      <x:c r="S5" s="50" t="n">
        <x:v>0.75</x:v>
      </x:c>
      <x:c r="T5" s="50" t="n">
        <x:v>0.2</x:v>
      </x:c>
      <x:c r="U5" s="50" t="str">
        <x:v>T1</x:v>
      </x:c>
      <x:c r="V5" s="50" t="n">
        <x:v>0</x:v>
      </x:c>
      <x:c r="W5" s="51" t="n">
        <x:f>H5+I5</x:f>
        <x:v>125</x:v>
      </x:c>
      <x:c r="X5" s="54" t="n">
        <x:f>0.25*(W5/SUMIF($A$4:$A$13,$C5,$W$4:$W$13))+0.30*((K5+0.5*L5)/MAX(0.01,SUMIF($A$4:$A$13,$C5,$K$4:$K$13)+0.5*SUMIF($A$4:$A$13,$C5,$L$4:$L$13)))+0.08*(M5/SUMIF($A$4:$A$13,$C5,$M$4:$M$13))+0.07*(N5/SUMIF($A$4:$A$13,$C5,$N$4:$N$13))+0.05*((J5+1)/(SUMIF($A$4:$A$13,$C5,$J$4:$J$13)+1))+0.10*(1+MIN(1,O5/MAX(1,K5)) )+0.15*(1+R5*S5*(1-T5))</x:f>
        <x:v>1.1108</x:v>
      </x:c>
      <x:c r="Y5" s="54" t="n">
        <x:f>(D5+'V2_Parameters'!$B$5*E5)/MAX(0.01,SUMIF($A$4:$A$13,$C5,$D$4:$D$13)+'V2_Parameters'!$B$5*SUMIF($A$4:$A$13,$C5,$E$4:$E$13))</x:f>
        <x:v>1</x:v>
      </x:c>
      <x:c r="Z5" s="54" t="n">
        <x:f>'V2_Parameters'!$B$8*(F5/SUMIF($A$4:$A$13,$C5,$F$4:$F$13))+'V2_Parameters'!$B$9*(G5/SUMIF($A$4:$A$13,$C5,$G$4:$G$13))</x:f>
        <x:v>1</x:v>
      </x:c>
      <x:c r="AA5" s="54" t="n">
        <x:f>VLOOKUP(U5,'V2_Parameters'!$E$4:$F$6,2,FALSE)/VLOOKUP(VLOOKUP(C5,$A$4:$U$13,21,FALSE),'V2_Parameters'!$E$4:$F$6,2,FALSE)</x:f>
        <x:v>1</x:v>
      </x:c>
      <x:c r="AB5" s="54" t="n">
        <x:f>AA5*('V2_Parameters'!$B$8*Y5+'V2_Parameters'!$B$9*Z5)</x:f>
        <x:v>1</x:v>
      </x:c>
      <x:c r="AC5" s="54" t="n">
        <x:f>1+0.20*V5</x:f>
        <x:v>1</x:v>
      </x:c>
      <x:c r="AD5" s="54" t="n">
        <x:f>X5/AB5*AC5</x:f>
        <x:v>1.1108</x:v>
      </x:c>
      <x:c r="AE5" t="str">
        <x:v>Armored bonus + slow/utility modeled via skill/bonus</x:v>
      </x:c>
      <x:c r="AF5" t="str">
        <x:v>https://liquipedia.net/starcraft2/Marauder_(Legacy_of_the_Void)</x:v>
      </x:c>
    </x:row>
    <x:row r="6">
      <x:c r="A6" s="50" t="str">
        <x:v>Zealot</x:v>
      </x:c>
      <x:c r="B6" s="50" t="str">
        <x:v>Frontline</x:v>
      </x:c>
      <x:c r="C6" s="50" t="str">
        <x:v>Zealot</x:v>
      </x:c>
      <x:c r="D6" s="50" t="n">
        <x:v>100</x:v>
      </x:c>
      <x:c r="E6" s="50" t="n">
        <x:v>0</x:v>
      </x:c>
      <x:c r="F6" s="50" t="n">
        <x:v>2</x:v>
      </x:c>
      <x:c r="G6" s="50" t="n">
        <x:v>27</x:v>
      </x:c>
      <x:c r="H6" s="50" t="n">
        <x:v>100</x:v>
      </x:c>
      <x:c r="I6" s="50" t="n">
        <x:v>50</x:v>
      </x:c>
      <x:c r="J6" s="50" t="n">
        <x:v>1</x:v>
      </x:c>
      <x:c r="K6" s="50" t="n">
        <x:v>18.6</x:v>
      </x:c>
      <x:c r="L6" s="50" t="n">
        <x:v>0</x:v>
      </x:c>
      <x:c r="M6" s="50" t="n">
        <x:v>0.1</x:v>
      </x:c>
      <x:c r="N6" s="50" t="n">
        <x:v>3.15</x:v>
      </x:c>
      <x:c r="O6" s="50" t="n">
        <x:v>0</x:v>
      </x:c>
      <x:c r="P6" s="50" t="n">
        <x:v>1</x:v>
      </x:c>
      <x:c r="Q6" s="50" t="n">
        <x:v>0.34</x:v>
      </x:c>
      <x:c r="R6" s="50" t="n">
        <x:v>0.12</x:v>
      </x:c>
      <x:c r="S6" s="50" t="n">
        <x:v>0.7</x:v>
      </x:c>
      <x:c r="T6" s="50" t="n">
        <x:v>0.15</x:v>
      </x:c>
      <x:c r="U6" s="50" t="str">
        <x:v>T1</x:v>
      </x:c>
      <x:c r="V6" s="50" t="n">
        <x:v>0</x:v>
      </x:c>
      <x:c r="W6" s="51" t="n">
        <x:f>H6+I6</x:f>
        <x:v>150</x:v>
      </x:c>
      <x:c r="X6" s="54" t="n">
        <x:f>0.25*(W6/SUMIF($A$4:$A$13,$C6,$W$4:$W$13))+0.30*((K6+0.5*L6)/MAX(0.01,SUMIF($A$4:$A$13,$C6,$K$4:$K$13)+0.5*SUMIF($A$4:$A$13,$C6,$L$4:$L$13)))+0.08*(M6/SUMIF($A$4:$A$13,$C6,$M$4:$M$13))+0.07*(N6/SUMIF($A$4:$A$13,$C6,$N$4:$N$13))+0.05*((J6+1)/(SUMIF($A$4:$A$13,$C6,$J$4:$J$13)+1))+0.10*(1+MIN(1,O6/MAX(1,K6)) )+0.15*(1+R6*S6*(1-T6))</x:f>
        <x:v>1.01071</x:v>
      </x:c>
      <x:c r="Y6" s="54" t="n">
        <x:f>(D6+'V2_Parameters'!$B$5*E6)/MAX(0.01,SUMIF($A$4:$A$13,$C6,$D$4:$D$13)+'V2_Parameters'!$B$5*SUMIF($A$4:$A$13,$C6,$E$4:$E$13))</x:f>
        <x:v>1</x:v>
      </x:c>
      <x:c r="Z6" s="54" t="n">
        <x:f>'V2_Parameters'!$B$8*(F6/SUMIF($A$4:$A$13,$C6,$F$4:$F$13))+'V2_Parameters'!$B$9*(G6/SUMIF($A$4:$A$13,$C6,$G$4:$G$13))</x:f>
        <x:v>1</x:v>
      </x:c>
      <x:c r="AA6" s="54" t="n">
        <x:f>VLOOKUP(U6,'V2_Parameters'!$E$4:$F$6,2,FALSE)/VLOOKUP(VLOOKUP(C6,$A$4:$U$13,21,FALSE),'V2_Parameters'!$E$4:$F$6,2,FALSE)</x:f>
        <x:v>1</x:v>
      </x:c>
      <x:c r="AB6" s="54" t="n">
        <x:f>AA6*('V2_Parameters'!$B$8*Y6+'V2_Parameters'!$B$9*Z6)</x:f>
        <x:v>1</x:v>
      </x:c>
      <x:c r="AC6" s="54" t="n">
        <x:f>1+0.20*V6</x:f>
        <x:v>1</x:v>
      </x:c>
      <x:c r="AD6" s="54" t="n">
        <x:f>X6/AB6*AC6</x:f>
        <x:v>1.01071</x:v>
      </x:c>
      <x:c r="AE6" t="str">
        <x:v>Charge / melee front line</x:v>
      </x:c>
      <x:c r="AF6" t="str">
        <x:v>https://liquipedia.net/starcraft2/Zealot</x:v>
      </x:c>
    </x:row>
    <x:row r="7">
      <x:c r="A7" s="50" t="str">
        <x:v>Stalker</x:v>
      </x:c>
      <x:c r="B7" s="50" t="str">
        <x:v>Mobile General</x:v>
      </x:c>
      <x:c r="C7" s="50" t="str">
        <x:v>Stalker</x:v>
      </x:c>
      <x:c r="D7" s="50" t="n">
        <x:v>125</x:v>
      </x:c>
      <x:c r="E7" s="50" t="n">
        <x:v>50</x:v>
      </x:c>
      <x:c r="F7" s="50" t="n">
        <x:v>2</x:v>
      </x:c>
      <x:c r="G7" s="50" t="n">
        <x:v>27</x:v>
      </x:c>
      <x:c r="H7" s="50" t="n">
        <x:v>80</x:v>
      </x:c>
      <x:c r="I7" s="50" t="n">
        <x:v>80</x:v>
      </x:c>
      <x:c r="J7" s="50" t="n">
        <x:v>1</x:v>
      </x:c>
      <x:c r="K7" s="50" t="n">
        <x:v>9.7</x:v>
      </x:c>
      <x:c r="L7" s="50" t="n">
        <x:v>9.7</x:v>
      </x:c>
      <x:c r="M7" s="50" t="n">
        <x:v>6</x:v>
      </x:c>
      <x:c r="N7" s="50" t="n">
        <x:v>4.13</x:v>
      </x:c>
      <x:c r="O7" s="50" t="n">
        <x:v>3.7</x:v>
      </x:c>
      <x:c r="P7" s="50" t="n">
        <x:v>1</x:v>
      </x:c>
      <x:c r="Q7" s="50" t="n">
        <x:v>0.3</x:v>
      </x:c>
      <x:c r="R7" s="50" t="n">
        <x:v>0.22</x:v>
      </x:c>
      <x:c r="S7" s="50" t="n">
        <x:v>0.6</x:v>
      </x:c>
      <x:c r="T7" s="50" t="n">
        <x:v>0.2</x:v>
      </x:c>
      <x:c r="U7" s="50" t="str">
        <x:v>T1</x:v>
      </x:c>
      <x:c r="V7" s="50" t="n">
        <x:v>0</x:v>
      </x:c>
      <x:c r="W7" s="51" t="n">
        <x:f>H7+I7</x:f>
        <x:v>160</x:v>
      </x:c>
      <x:c r="X7" s="54" t="n">
        <x:f>0.25*(W7/SUMIF($A$4:$A$13,$C7,$W$4:$W$13))+0.30*((K7+0.5*L7)/MAX(0.01,SUMIF($A$4:$A$13,$C7,$K$4:$K$13)+0.5*SUMIF($A$4:$A$13,$C7,$L$4:$L$13)))+0.08*(M7/SUMIF($A$4:$A$13,$C7,$M$4:$M$13))+0.07*(N7/SUMIF($A$4:$A$13,$C7,$N$4:$N$13))+0.05*((J7+1)/(SUMIF($A$4:$A$13,$C7,$J$4:$J$13)+1))+0.10*(1+MIN(1,O7/MAX(1,K7)) )+0.15*(1+R7*S7*(1-T7))</x:f>
        <x:v>1.0539843298969072</x:v>
      </x:c>
      <x:c r="Y7" s="54" t="n">
        <x:f>(D7+'V2_Parameters'!$B$5*E7)/MAX(0.01,SUMIF($A$4:$A$13,$C7,$D$4:$D$13)+'V2_Parameters'!$B$5*SUMIF($A$4:$A$13,$C7,$E$4:$E$13))</x:f>
        <x:v>1</x:v>
      </x:c>
      <x:c r="Z7" s="54" t="n">
        <x:f>'V2_Parameters'!$B$8*(F7/SUMIF($A$4:$A$13,$C7,$F$4:$F$13))+'V2_Parameters'!$B$9*(G7/SUMIF($A$4:$A$13,$C7,$G$4:$G$13))</x:f>
        <x:v>1</x:v>
      </x:c>
      <x:c r="AA7" s="54" t="n">
        <x:f>VLOOKUP(U7,'V2_Parameters'!$E$4:$F$6,2,FALSE)/VLOOKUP(VLOOKUP(C7,$A$4:$U$13,21,FALSE),'V2_Parameters'!$E$4:$F$6,2,FALSE)</x:f>
        <x:v>1</x:v>
      </x:c>
      <x:c r="AB7" s="54" t="n">
        <x:f>AA7*('V2_Parameters'!$B$8*Y7+'V2_Parameters'!$B$9*Z7)</x:f>
        <x:v>1</x:v>
      </x:c>
      <x:c r="AC7" s="54" t="n">
        <x:f>1+0.20*V7</x:f>
        <x:v>1</x:v>
      </x:c>
      <x:c r="AD7" s="54" t="n">
        <x:f>X7/AB7*AC7</x:f>
        <x:v>1.0539843298969072</x:v>
      </x:c>
      <x:c r="AE7" t="str">
        <x:v>Blink + AA + mobility</x:v>
      </x:c>
      <x:c r="AF7" t="str">
        <x:v>https://liquipedia.net/starcraft2/Stalker_(Legacy_of_the_Void)</x:v>
      </x:c>
    </x:row>
    <x:row r="8">
      <x:c r="A8" s="50" t="str">
        <x:v>Zergling</x:v>
      </x:c>
      <x:c r="B8" s="50" t="str">
        <x:v>Swarm</x:v>
      </x:c>
      <x:c r="C8" s="50" t="str">
        <x:v>Zergling</x:v>
      </x:c>
      <x:c r="D8" s="50" t="n">
        <x:v>25</x:v>
      </x:c>
      <x:c r="E8" s="50" t="n">
        <x:v>0</x:v>
      </x:c>
      <x:c r="F8" s="50" t="n">
        <x:v>0.5</x:v>
      </x:c>
      <x:c r="G8" s="50" t="n">
        <x:v>17</x:v>
      </x:c>
      <x:c r="H8" s="50" t="n">
        <x:v>35</x:v>
      </x:c>
      <x:c r="I8" s="50" t="n">
        <x:v>0</x:v>
      </x:c>
      <x:c r="J8" s="50" t="n">
        <x:v>0</x:v>
      </x:c>
      <x:c r="K8" s="50" t="n">
        <x:v>10</x:v>
      </x:c>
      <x:c r="L8" s="50" t="n">
        <x:v>0</x:v>
      </x:c>
      <x:c r="M8" s="50" t="n">
        <x:v>0.1</x:v>
      </x:c>
      <x:c r="N8" s="50" t="n">
        <x:v>4.13</x:v>
      </x:c>
      <x:c r="O8" s="50" t="n">
        <x:v>0</x:v>
      </x:c>
      <x:c r="P8" s="50" t="n">
        <x:v>1</x:v>
      </x:c>
      <x:c r="Q8" s="50" t="n">
        <x:v>0.12</x:v>
      </x:c>
      <x:c r="R8" s="50" t="n">
        <x:v>0.05</x:v>
      </x:c>
      <x:c r="S8" s="50" t="n">
        <x:v>0.9</x:v>
      </x:c>
      <x:c r="T8" s="50" t="n">
        <x:v>0.1</x:v>
      </x:c>
      <x:c r="U8" s="50" t="str">
        <x:v>T1</x:v>
      </x:c>
      <x:c r="V8" s="50" t="n">
        <x:v>0</x:v>
      </x:c>
      <x:c r="W8" s="51" t="n">
        <x:f>H8+I8</x:f>
        <x:v>35</x:v>
      </x:c>
      <x:c r="X8" s="54" t="n">
        <x:f>0.25*(W8/SUMIF($A$4:$A$13,$C8,$W$4:$W$13))+0.30*((K8+0.5*L8)/MAX(0.01,SUMIF($A$4:$A$13,$C8,$K$4:$K$13)+0.5*SUMIF($A$4:$A$13,$C8,$L$4:$L$13)))+0.08*(M8/SUMIF($A$4:$A$13,$C8,$M$4:$M$13))+0.07*(N8/SUMIF($A$4:$A$13,$C8,$N$4:$N$13))+0.05*((J8+1)/(SUMIF($A$4:$A$13,$C8,$J$4:$J$13)+1))+0.10*(1+MIN(1,O8/MAX(1,K8)) )+0.15*(1+R8*S8*(1-T8))</x:f>
        <x:v>1.006075</x:v>
      </x:c>
      <x:c r="Y8" s="54" t="n">
        <x:f>(D8+'V2_Parameters'!$B$5*E8)/MAX(0.01,SUMIF($A$4:$A$13,$C8,$D$4:$D$13)+'V2_Parameters'!$B$5*SUMIF($A$4:$A$13,$C8,$E$4:$E$13))</x:f>
        <x:v>1</x:v>
      </x:c>
      <x:c r="Z8" s="54" t="n">
        <x:f>'V2_Parameters'!$B$8*(F8/SUMIF($A$4:$A$13,$C8,$F$4:$F$13))+'V2_Parameters'!$B$9*(G8/SUMIF($A$4:$A$13,$C8,$G$4:$G$13))</x:f>
        <x:v>1</x:v>
      </x:c>
      <x:c r="AA8" s="54" t="n">
        <x:f>VLOOKUP(U8,'V2_Parameters'!$E$4:$F$6,2,FALSE)/VLOOKUP(VLOOKUP(C8,$A$4:$U$13,21,FALSE),'V2_Parameters'!$E$4:$F$6,2,FALSE)</x:f>
        <x:v>1</x:v>
      </x:c>
      <x:c r="AB8" s="54" t="n">
        <x:f>AA8*('V2_Parameters'!$B$8*Y8+'V2_Parameters'!$B$9*Z8)</x:f>
        <x:v>1</x:v>
      </x:c>
      <x:c r="AC8" s="54" t="n">
        <x:f>1+0.20*V8</x:f>
        <x:v>1</x:v>
      </x:c>
      <x:c r="AD8" s="54" t="n">
        <x:f>X8/AB8*AC8</x:f>
        <x:v>1.006075</x:v>
      </x:c>
      <x:c r="AE8" t="str">
        <x:v>Two units per 25 mineral cycle; swarm/surround proxy</x:v>
      </x:c>
      <x:c r="AF8" t="str">
        <x:v>https://liquipedia.net/starcraft2/Zergling</x:v>
      </x:c>
    </x:row>
    <x:row r="9">
      <x:c r="A9" s="50" t="str">
        <x:v>Roach</x:v>
      </x:c>
      <x:c r="B9" s="50" t="str">
        <x:v>Durable Assault</x:v>
      </x:c>
      <x:c r="C9" s="50" t="str">
        <x:v>Roach</x:v>
      </x:c>
      <x:c r="D9" s="50" t="n">
        <x:v>75</x:v>
      </x:c>
      <x:c r="E9" s="50" t="n">
        <x:v>25</x:v>
      </x:c>
      <x:c r="F9" s="50" t="n">
        <x:v>2</x:v>
      </x:c>
      <x:c r="G9" s="50" t="n">
        <x:v>19</x:v>
      </x:c>
      <x:c r="H9" s="50" t="n">
        <x:v>145</x:v>
      </x:c>
      <x:c r="I9" s="50" t="n">
        <x:v>0</x:v>
      </x:c>
      <x:c r="J9" s="50" t="n">
        <x:v>1</x:v>
      </x:c>
      <x:c r="K9" s="50" t="n">
        <x:v>11.2</x:v>
      </x:c>
      <x:c r="L9" s="50" t="n">
        <x:v>0</x:v>
      </x:c>
      <x:c r="M9" s="50" t="n">
        <x:v>4</x:v>
      </x:c>
      <x:c r="N9" s="50" t="n">
        <x:v>3.15</x:v>
      </x:c>
      <x:c r="O9" s="50" t="n">
        <x:v>0</x:v>
      </x:c>
      <x:c r="P9" s="50" t="n">
        <x:v>1</x:v>
      </x:c>
      <x:c r="Q9" s="50" t="n">
        <x:v>0.34</x:v>
      </x:c>
      <x:c r="R9" s="50" t="n">
        <x:v>0.05</x:v>
      </x:c>
      <x:c r="S9" s="50" t="n">
        <x:v>0.5</x:v>
      </x:c>
      <x:c r="T9" s="50" t="n">
        <x:v>0.1</x:v>
      </x:c>
      <x:c r="U9" s="50" t="str">
        <x:v>T1</x:v>
      </x:c>
      <x:c r="V9" s="50" t="n">
        <x:v>0</x:v>
      </x:c>
      <x:c r="W9" s="51" t="n">
        <x:f>H9+I9</x:f>
        <x:v>145</x:v>
      </x:c>
      <x:c r="X9" s="54" t="n">
        <x:f>0.25*(W9/SUMIF($A$4:$A$13,$C9,$W$4:$W$13))+0.30*((K9+0.5*L9)/MAX(0.01,SUMIF($A$4:$A$13,$C9,$K$4:$K$13)+0.5*SUMIF($A$4:$A$13,$C9,$L$4:$L$13)))+0.08*(M9/SUMIF($A$4:$A$13,$C9,$M$4:$M$13))+0.07*(N9/SUMIF($A$4:$A$13,$C9,$N$4:$N$13))+0.05*((J9+1)/(SUMIF($A$4:$A$13,$C9,$J$4:$J$13)+1))+0.10*(1+MIN(1,O9/MAX(1,K9)) )+0.15*(1+R9*S9*(1-T9))</x:f>
        <x:v>1.003375</x:v>
      </x:c>
      <x:c r="Y9" s="54" t="n">
        <x:f>(D9+'V2_Parameters'!$B$5*E9)/MAX(0.01,SUMIF($A$4:$A$13,$C9,$D$4:$D$13)+'V2_Parameters'!$B$5*SUMIF($A$4:$A$13,$C9,$E$4:$E$13))</x:f>
        <x:v>1</x:v>
      </x:c>
      <x:c r="Z9" s="54" t="n">
        <x:f>'V2_Parameters'!$B$8*(F9/SUMIF($A$4:$A$13,$C9,$F$4:$F$13))+'V2_Parameters'!$B$9*(G9/SUMIF($A$4:$A$13,$C9,$G$4:$G$13))</x:f>
        <x:v>1</x:v>
      </x:c>
      <x:c r="AA9" s="54" t="n">
        <x:f>VLOOKUP(U9,'V2_Parameters'!$E$4:$F$6,2,FALSE)/VLOOKUP(VLOOKUP(C9,$A$4:$U$13,21,FALSE),'V2_Parameters'!$E$4:$F$6,2,FALSE)</x:f>
        <x:v>1</x:v>
      </x:c>
      <x:c r="AB9" s="54" t="n">
        <x:f>AA9*('V2_Parameters'!$B$8*Y9+'V2_Parameters'!$B$9*Z9)</x:f>
        <x:v>1</x:v>
      </x:c>
      <x:c r="AC9" s="54" t="n">
        <x:f>1+0.20*V9</x:f>
        <x:v>1</x:v>
      </x:c>
      <x:c r="AD9" s="54" t="n">
        <x:f>X9/AB9*AC9</x:f>
        <x:v>1.003375</x:v>
      </x:c>
      <x:c r="AE9" t="str">
        <x:v>Durable assault baseline</x:v>
      </x:c>
      <x:c r="AF9" t="str">
        <x:v>https://liquipedia.net/starcraft2/Roach_(Legacy_of_the_Void)</x:v>
      </x:c>
    </x:row>
    <x:row r="10">
      <x:c r="A10" s="50" t="str">
        <x:v>Hydralisk</x:v>
      </x:c>
      <x:c r="B10" s="50" t="str">
        <x:v>Ranged DPS</x:v>
      </x:c>
      <x:c r="C10" s="50" t="str">
        <x:v>Hydralisk</x:v>
      </x:c>
      <x:c r="D10" s="50" t="n">
        <x:v>100</x:v>
      </x:c>
      <x:c r="E10" s="50" t="n">
        <x:v>50</x:v>
      </x:c>
      <x:c r="F10" s="50" t="n">
        <x:v>2</x:v>
      </x:c>
      <x:c r="G10" s="50" t="n">
        <x:v>24</x:v>
      </x:c>
      <x:c r="H10" s="50" t="n">
        <x:v>90</x:v>
      </x:c>
      <x:c r="I10" s="50" t="n">
        <x:v>0</x:v>
      </x:c>
      <x:c r="J10" s="50" t="n">
        <x:v>0</x:v>
      </x:c>
      <x:c r="K10" s="50" t="n">
        <x:v>20.4</x:v>
      </x:c>
      <x:c r="L10" s="50" t="n">
        <x:v>20.4</x:v>
      </x:c>
      <x:c r="M10" s="50" t="n">
        <x:v>5</x:v>
      </x:c>
      <x:c r="N10" s="50" t="n">
        <x:v>3.15</x:v>
      </x:c>
      <x:c r="O10" s="50" t="n">
        <x:v>0</x:v>
      </x:c>
      <x:c r="P10" s="50" t="n">
        <x:v>1</x:v>
      </x:c>
      <x:c r="Q10" s="50" t="n">
        <x:v>0.24</x:v>
      </x:c>
      <x:c r="R10" s="50" t="n">
        <x:v>0.08</x:v>
      </x:c>
      <x:c r="S10" s="50" t="n">
        <x:v>0.6</x:v>
      </x:c>
      <x:c r="T10" s="50" t="n">
        <x:v>0.1</x:v>
      </x:c>
      <x:c r="U10" s="50" t="str">
        <x:v>T2</x:v>
      </x:c>
      <x:c r="V10" s="50" t="n">
        <x:v>0</x:v>
      </x:c>
      <x:c r="W10" s="51" t="n">
        <x:f>H10+I10</x:f>
        <x:v>90</x:v>
      </x:c>
      <x:c r="X10" s="54" t="n">
        <x:f>0.25*(W10/SUMIF($A$4:$A$13,$C10,$W$4:$W$13))+0.30*((K10+0.5*L10)/MAX(0.01,SUMIF($A$4:$A$13,$C10,$K$4:$K$13)+0.5*SUMIF($A$4:$A$13,$C10,$L$4:$L$13)))+0.08*(M10/SUMIF($A$4:$A$13,$C10,$M$4:$M$13))+0.07*(N10/SUMIF($A$4:$A$13,$C10,$N$4:$N$13))+0.05*((J10+1)/(SUMIF($A$4:$A$13,$C10,$J$4:$J$13)+1))+0.10*(1+MIN(1,O10/MAX(1,K10)) )+0.15*(1+R10*S10*(1-T10))</x:f>
        <x:v>1.00648</x:v>
      </x:c>
      <x:c r="Y10" s="54" t="n">
        <x:f>(D10+'V2_Parameters'!$B$5*E10)/MAX(0.01,SUMIF($A$4:$A$13,$C10,$D$4:$D$13)+'V2_Parameters'!$B$5*SUMIF($A$4:$A$13,$C10,$E$4:$E$13))</x:f>
        <x:v>1</x:v>
      </x:c>
      <x:c r="Z10" s="54" t="n">
        <x:f>'V2_Parameters'!$B$8*(F10/SUMIF($A$4:$A$13,$C10,$F$4:$F$13))+'V2_Parameters'!$B$9*(G10/SUMIF($A$4:$A$13,$C10,$G$4:$G$13))</x:f>
        <x:v>1</x:v>
      </x:c>
      <x:c r="AA10" s="54" t="n">
        <x:f>VLOOKUP(U10,'V2_Parameters'!$E$4:$F$6,2,FALSE)/VLOOKUP(VLOOKUP(C10,$A$4:$U$13,21,FALSE),'V2_Parameters'!$E$4:$F$6,2,FALSE)</x:f>
        <x:v>1</x:v>
      </x:c>
      <x:c r="AB10" s="54" t="n">
        <x:f>AA10*('V2_Parameters'!$B$8*Y10+'V2_Parameters'!$B$9*Z10)</x:f>
        <x:v>1</x:v>
      </x:c>
      <x:c r="AC10" s="54" t="n">
        <x:f>1+0.20*V10</x:f>
        <x:v>1</x:v>
      </x:c>
      <x:c r="AD10" s="54" t="n">
        <x:f>X10/AB10*AC10</x:f>
        <x:v>1.00648</x:v>
      </x:c>
      <x:c r="AE10" t="str">
        <x:v>High ranged DPS / AA</x:v>
      </x:c>
      <x:c r="AF10" t="str">
        <x:v>https://liquipedia.net/starcraft2/Hydralisk_(Legacy_of_the_Void)</x:v>
      </x:c>
    </x:row>
    <x:row r="11">
      <x:c r="A11" s="50" t="str">
        <x:v>Immortal</x:v>
      </x:c>
      <x:c r="B11" s="50" t="str">
        <x:v>Premium Anti-Armor</x:v>
      </x:c>
      <x:c r="C11" s="50" t="str">
        <x:v>Immortal</x:v>
      </x:c>
      <x:c r="D11" s="50" t="n">
        <x:v>250</x:v>
      </x:c>
      <x:c r="E11" s="50" t="n">
        <x:v>100</x:v>
      </x:c>
      <x:c r="F11" s="50" t="n">
        <x:v>4</x:v>
      </x:c>
      <x:c r="G11" s="50" t="n">
        <x:v>39</x:v>
      </x:c>
      <x:c r="H11" s="50" t="n">
        <x:v>200</x:v>
      </x:c>
      <x:c r="I11" s="50" t="n">
        <x:v>100</x:v>
      </x:c>
      <x:c r="J11" s="50" t="n">
        <x:v>1</x:v>
      </x:c>
      <x:c r="K11" s="50" t="n">
        <x:v>17.5</x:v>
      </x:c>
      <x:c r="L11" s="50" t="n">
        <x:v>0</x:v>
      </x:c>
      <x:c r="M11" s="50" t="n">
        <x:v>6</x:v>
      </x:c>
      <x:c r="N11" s="50" t="n">
        <x:v>3.15</x:v>
      </x:c>
      <x:c r="O11" s="50" t="n">
        <x:v>26.25</x:v>
      </x:c>
      <x:c r="P11" s="50" t="n">
        <x:v>1</x:v>
      </x:c>
      <x:c r="Q11" s="50" t="n">
        <x:v>0.55</x:v>
      </x:c>
      <x:c r="R11" s="50" t="n">
        <x:v>0.2</x:v>
      </x:c>
      <x:c r="S11" s="50" t="n">
        <x:v>0.7</x:v>
      </x:c>
      <x:c r="T11" s="50" t="n">
        <x:v>0.15</x:v>
      </x:c>
      <x:c r="U11" s="50" t="str">
        <x:v>T2</x:v>
      </x:c>
      <x:c r="V11" s="50" t="n">
        <x:v>0</x:v>
      </x:c>
      <x:c r="W11" s="51" t="n">
        <x:f>H11+I11</x:f>
        <x:v>300</x:v>
      </x:c>
      <x:c r="X11" s="54" t="n">
        <x:f>0.25*(W11/SUMIF($A$4:$A$13,$C11,$W$4:$W$13))+0.30*((K11+0.5*L11)/MAX(0.01,SUMIF($A$4:$A$13,$C11,$K$4:$K$13)+0.5*SUMIF($A$4:$A$13,$C11,$L$4:$L$13)))+0.08*(M11/SUMIF($A$4:$A$13,$C11,$M$4:$M$13))+0.07*(N11/SUMIF($A$4:$A$13,$C11,$N$4:$N$13))+0.05*((J11+1)/(SUMIF($A$4:$A$13,$C11,$J$4:$J$13)+1))+0.10*(1+MIN(1,O11/MAX(1,K11)) )+0.15*(1+R11*S11*(1-T11))</x:f>
        <x:v>1.11785</x:v>
      </x:c>
      <x:c r="Y11" s="54" t="n">
        <x:f>(D11+'V2_Parameters'!$B$5*E11)/MAX(0.01,SUMIF($A$4:$A$13,$C11,$D$4:$D$13)+'V2_Parameters'!$B$5*SUMIF($A$4:$A$13,$C11,$E$4:$E$13))</x:f>
        <x:v>1</x:v>
      </x:c>
      <x:c r="Z11" s="54" t="n">
        <x:f>'V2_Parameters'!$B$8*(F11/SUMIF($A$4:$A$13,$C11,$F$4:$F$13))+'V2_Parameters'!$B$9*(G11/SUMIF($A$4:$A$13,$C11,$G$4:$G$13))</x:f>
        <x:v>1</x:v>
      </x:c>
      <x:c r="AA11" s="54" t="n">
        <x:f>VLOOKUP(U11,'V2_Parameters'!$E$4:$F$6,2,FALSE)/VLOOKUP(VLOOKUP(C11,$A$4:$U$13,21,FALSE),'V2_Parameters'!$E$4:$F$6,2,FALSE)</x:f>
        <x:v>1</x:v>
      </x:c>
      <x:c r="AB11" s="54" t="n">
        <x:f>AA11*('V2_Parameters'!$B$8*Y11+'V2_Parameters'!$B$9*Z11)</x:f>
        <x:v>1</x:v>
      </x:c>
      <x:c r="AC11" s="54" t="n">
        <x:f>1+0.20*V11</x:f>
        <x:v>1</x:v>
      </x:c>
      <x:c r="AD11" s="54" t="n">
        <x:f>X11/AB11*AC11</x:f>
        <x:v>1.11785</x:v>
      </x:c>
      <x:c r="AE11" t="str">
        <x:v>Barrier + anti-heavy specialist</x:v>
      </x:c>
      <x:c r="AF11" t="str">
        <x:v>https://liquipedia.net/starcraft2/Immortal_(Legacy_of_the_Void)</x:v>
      </x:c>
    </x:row>
    <x:row r="12">
      <x:c r="A12" s="50" t="str">
        <x:v>Siege Tank</x:v>
      </x:c>
      <x:c r="B12" s="50" t="str">
        <x:v>Siege / AOE</x:v>
      </x:c>
      <x:c r="C12" s="50" t="str">
        <x:v>Siege Tank</x:v>
      </x:c>
      <x:c r="D12" s="50" t="n">
        <x:v>150</x:v>
      </x:c>
      <x:c r="E12" s="50" t="n">
        <x:v>125</x:v>
      </x:c>
      <x:c r="F12" s="50" t="n">
        <x:v>3</x:v>
      </x:c>
      <x:c r="G12" s="50" t="n">
        <x:v>32</x:v>
      </x:c>
      <x:c r="H12" s="50" t="n">
        <x:v>175</x:v>
      </x:c>
      <x:c r="I12" s="50" t="n">
        <x:v>0</x:v>
      </x:c>
      <x:c r="J12" s="50" t="n">
        <x:v>1</x:v>
      </x:c>
      <x:c r="K12" s="50" t="n">
        <x:v>20.27</x:v>
      </x:c>
      <x:c r="L12" s="50" t="n">
        <x:v>0</x:v>
      </x:c>
      <x:c r="M12" s="50" t="n">
        <x:v>7</x:v>
      </x:c>
      <x:c r="N12" s="50" t="n">
        <x:v>3.15</x:v>
      </x:c>
      <x:c r="O12" s="50" t="n">
        <x:v>0</x:v>
      </x:c>
      <x:c r="P12" s="50" t="n">
        <x:v>2.7</x:v>
      </x:c>
      <x:c r="Q12" s="50" t="n">
        <x:v>0.52</x:v>
      </x:c>
      <x:c r="R12" s="50" t="n">
        <x:v>0.28</x:v>
      </x:c>
      <x:c r="S12" s="50" t="n">
        <x:v>0.7</x:v>
      </x:c>
      <x:c r="T12" s="50" t="n">
        <x:v>0.25</x:v>
      </x:c>
      <x:c r="U12" s="50" t="str">
        <x:v>T2</x:v>
      </x:c>
      <x:c r="V12" s="50" t="n">
        <x:v>0</x:v>
      </x:c>
      <x:c r="W12" s="51" t="n">
        <x:f>H12+I12</x:f>
        <x:v>175</x:v>
      </x:c>
      <x:c r="X12" s="54" t="n">
        <x:f>0.25*(W12/SUMIF($A$4:$A$13,$C12,$W$4:$W$13))+0.30*((K12+0.5*L12)/MAX(0.01,SUMIF($A$4:$A$13,$C12,$K$4:$K$13)+0.5*SUMIF($A$4:$A$13,$C12,$L$4:$L$13)))+0.08*(M12/SUMIF($A$4:$A$13,$C12,$M$4:$M$13))+0.07*(N12/SUMIF($A$4:$A$13,$C12,$N$4:$N$13))+0.05*((J12+1)/(SUMIF($A$4:$A$13,$C12,$J$4:$J$13)+1))+0.10*(1+MIN(1,O12/MAX(1,K12)) )+0.15*(1+R12*S12*(1-T12))</x:f>
        <x:v>1.02205</x:v>
      </x:c>
      <x:c r="Y12" s="54" t="n">
        <x:f>(D12+'V2_Parameters'!$B$5*E12)/MAX(0.01,SUMIF($A$4:$A$13,$C12,$D$4:$D$13)+'V2_Parameters'!$B$5*SUMIF($A$4:$A$13,$C12,$E$4:$E$13))</x:f>
        <x:v>1</x:v>
      </x:c>
      <x:c r="Z12" s="54" t="n">
        <x:f>'V2_Parameters'!$B$8*(F12/SUMIF($A$4:$A$13,$C12,$F$4:$F$13))+'V2_Parameters'!$B$9*(G12/SUMIF($A$4:$A$13,$C12,$G$4:$G$13))</x:f>
        <x:v>1</x:v>
      </x:c>
      <x:c r="AA12" s="54" t="n">
        <x:f>VLOOKUP(U12,'V2_Parameters'!$E$4:$F$6,2,FALSE)/VLOOKUP(VLOOKUP(C12,$A$4:$U$13,21,FALSE),'V2_Parameters'!$E$4:$F$6,2,FALSE)</x:f>
        <x:v>1</x:v>
      </x:c>
      <x:c r="AB12" s="54" t="n">
        <x:f>AA12*('V2_Parameters'!$B$8*Y12+'V2_Parameters'!$B$9*Z12)</x:f>
        <x:v>1</x:v>
      </x:c>
      <x:c r="AC12" s="54" t="n">
        <x:f>1+0.20*V12</x:f>
        <x:v>1</x:v>
      </x:c>
      <x:c r="AD12" s="54" t="n">
        <x:f>X12/AB12*AC12</x:f>
        <x:v>1.02205</x:v>
      </x:c>
      <x:c r="AE12" t="str">
        <x:v>Siege mode: range/AOE/mode trade-off</x:v>
      </x:c>
      <x:c r="AF12" t="str">
        <x:v>https://liquipedia.net/starcraft2/Siege_Tank_(Legacy_of_the_Void)</x:v>
      </x:c>
    </x:row>
    <x:row r="13">
      <x:c r="A13" s="50" t="str">
        <x:v>Colossus</x:v>
      </x:c>
      <x:c r="B13" s="50" t="str">
        <x:v>Premium AOE</x:v>
      </x:c>
      <x:c r="C13" s="50" t="str">
        <x:v>Colossus</x:v>
      </x:c>
      <x:c r="D13" s="50" t="n">
        <x:v>300</x:v>
      </x:c>
      <x:c r="E13" s="50" t="n">
        <x:v>200</x:v>
      </x:c>
      <x:c r="F13" s="50" t="n">
        <x:v>6</x:v>
      </x:c>
      <x:c r="G13" s="50" t="n">
        <x:v>54</x:v>
      </x:c>
      <x:c r="H13" s="50" t="n">
        <x:v>150</x:v>
      </x:c>
      <x:c r="I13" s="50" t="n">
        <x:v>200</x:v>
      </x:c>
      <x:c r="J13" s="50" t="n">
        <x:v>1</x:v>
      </x:c>
      <x:c r="K13" s="50" t="n">
        <x:v>18.7</x:v>
      </x:c>
      <x:c r="L13" s="50" t="n">
        <x:v>0</x:v>
      </x:c>
      <x:c r="M13" s="50" t="n">
        <x:v>7</x:v>
      </x:c>
      <x:c r="N13" s="50" t="n">
        <x:v>3.15</x:v>
      </x:c>
      <x:c r="O13" s="50" t="n">
        <x:v>0</x:v>
      </x:c>
      <x:c r="P13" s="50" t="n">
        <x:v>2.5</x:v>
      </x:c>
      <x:c r="Q13" s="50" t="n">
        <x:v>0.6</x:v>
      </x:c>
      <x:c r="R13" s="50" t="n">
        <x:v>0.22</x:v>
      </x:c>
      <x:c r="S13" s="50" t="n">
        <x:v>0.65</x:v>
      </x:c>
      <x:c r="T13" s="50" t="n">
        <x:v>0.3</x:v>
      </x:c>
      <x:c r="U13" s="50" t="str">
        <x:v>T3</x:v>
      </x:c>
      <x:c r="V13" s="50" t="n">
        <x:v>0</x:v>
      </x:c>
      <x:c r="W13" s="51" t="n">
        <x:f>H13+I13</x:f>
        <x:v>350</x:v>
      </x:c>
      <x:c r="X13" s="54" t="n">
        <x:f>0.25*(W13/SUMIF($A$4:$A$13,$C13,$W$4:$W$13))+0.30*((K13+0.5*L13)/MAX(0.01,SUMIF($A$4:$A$13,$C13,$K$4:$K$13)+0.5*SUMIF($A$4:$A$13,$C13,$L$4:$L$13)))+0.08*(M13/SUMIF($A$4:$A$13,$C13,$M$4:$M$13))+0.07*(N13/SUMIF($A$4:$A$13,$C13,$N$4:$N$13))+0.05*((J13+1)/(SUMIF($A$4:$A$13,$C13,$J$4:$J$13)+1))+0.10*(1+MIN(1,O13/MAX(1,K13)) )+0.15*(1+R13*S13*(1-T13))</x:f>
        <x:v>1.015015</x:v>
      </x:c>
      <x:c r="Y13" s="54" t="n">
        <x:f>(D13+'V2_Parameters'!$B$5*E13)/MAX(0.01,SUMIF($A$4:$A$13,$C13,$D$4:$D$13)+'V2_Parameters'!$B$5*SUMIF($A$4:$A$13,$C13,$E$4:$E$13))</x:f>
        <x:v>1</x:v>
      </x:c>
      <x:c r="Z13" s="54" t="n">
        <x:f>'V2_Parameters'!$B$8*(F13/SUMIF($A$4:$A$13,$C13,$F$4:$F$13))+'V2_Parameters'!$B$9*(G13/SUMIF($A$4:$A$13,$C13,$G$4:$G$13))</x:f>
        <x:v>1</x:v>
      </x:c>
      <x:c r="AA13" s="54" t="n">
        <x:f>VLOOKUP(U13,'V2_Parameters'!$E$4:$F$6,2,FALSE)/VLOOKUP(VLOOKUP(C13,$A$4:$U$13,21,FALSE),'V2_Parameters'!$E$4:$F$6,2,FALSE)</x:f>
        <x:v>1</x:v>
      </x:c>
      <x:c r="AB13" s="54" t="n">
        <x:f>AA13*('V2_Parameters'!$B$8*Y13+'V2_Parameters'!$B$9*Z13)</x:f>
        <x:v>1</x:v>
      </x:c>
      <x:c r="AC13" s="54" t="n">
        <x:f>1+0.20*V13</x:f>
        <x:v>1</x:v>
      </x:c>
      <x:c r="AD13" s="54" t="n">
        <x:f>X13/AB13*AC13</x:f>
        <x:v>1.015015</x:v>
      </x:c>
      <x:c r="AE13" t="str">
        <x:v>Line AOE / tall unit / anti-light emphasis</x:v>
      </x:c>
      <x:c r="AF13" t="str">
        <x:v>https://liquipedia.net/starcraft2/Colossus_(Legacy_of_the_Void)</x:v>
      </x:c>
    </x:row>
  </x:sheetData>
  <x:conditionalFormatting sqref="AD4:AD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B4:B13">
      <x:formula1>"General DPS,Frontline,Anti-Armor,Mobile General,Swarm,Durable Assault,Ranged DPS,Premium Anti-Armor,Siege / AOE,Premium AOE"</x:formula1>
    </x:dataValidation>
    <x:dataValidation type="list" sqref="C4:C13">
      <x:formula1>'V2_Units'!$A$4:$A$13</x:formula1>
    </x:dataValidation>
    <x:dataValidation type="list" sqref="U4:U13">
      <x:formula1>"T1,T2,T3"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f37678577948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40" hidden="0" customWidth="1"/>
  </x:cols>
  <x:sheetData>
    <x:row r="1">
      <x:c r="A1" s="43" t="str">
        <x:v>V2 Standard Combat Scenarios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48" t="str">
        <x:v>Scenario</x:v>
      </x:c>
      <x:c r="B3" s="48" t="str">
        <x:v>Target Mix</x:v>
      </x:c>
      <x:c r="C3" s="48" t="str">
        <x:v>Target Armored %</x:v>
      </x:c>
      <x:c r="D3" s="48" t="str">
        <x:v>Target Air %</x:v>
      </x:c>
      <x:c r="E3" s="48" t="str">
        <x:v>Target Density</x:v>
      </x:c>
      <x:c r="F3" s="48" t="str">
        <x:v>Space Tightness</x:v>
      </x:c>
      <x:c r="G3" s="48" t="str">
        <x:v>AOE Counterplay</x:v>
      </x:c>
      <x:c r="H3" s="48" t="str">
        <x:v>Skill Counterplay</x:v>
      </x:c>
      <x:c r="I3" s="48" t="str">
        <x:v>Micro Difficulty</x:v>
      </x:c>
      <x:c r="J3" s="48" t="str">
        <x:v>Role Context</x:v>
      </x:c>
      <x:c r="K3" s="48" t="str">
        <x:v>Scenario Note</x:v>
      </x:c>
    </x:row>
    <x:row r="4">
      <x:c r="A4" s="50" t="str">
        <x:v>Open Field — Light Mass</x:v>
      </x:c>
      <x:c r="B4" s="50" t="str">
        <x:v>Light mass</x:v>
      </x:c>
      <x:c r="C4" s="50" t="n">
        <x:v>0.1</x:v>
      </x:c>
      <x:c r="D4" s="50" t="n">
        <x:v>0.2</x:v>
      </x:c>
      <x:c r="E4" s="50" t="n">
        <x:v>0.45</x:v>
      </x:c>
      <x:c r="F4" s="50" t="n">
        <x:v>0.2</x:v>
      </x:c>
      <x:c r="G4" s="50" t="n">
        <x:v>0.6</x:v>
      </x:c>
      <x:c r="H4" s="50" t="n">
        <x:v>0.35</x:v>
      </x:c>
      <x:c r="I4" s="50" t="n">
        <x:v>0.25</x:v>
      </x:c>
      <x:c r="J4" s="50" t="str">
        <x:v>General DPS / Swarm</x:v>
      </x:c>
      <x:c r="K4" s="50" t="str">
        <x:v>Large space, dispersed light targets</x:v>
      </x:c>
    </x:row>
    <x:row r="5">
      <x:c r="A5" s="50" t="str">
        <x:v>Open Field — Armored</x:v>
      </x:c>
      <x:c r="B5" s="50" t="str">
        <x:v>Armored mass</x:v>
      </x:c>
      <x:c r="C5" s="50" t="n">
        <x:v>0.85</x:v>
      </x:c>
      <x:c r="D5" s="50" t="n">
        <x:v>0.15</x:v>
      </x:c>
      <x:c r="E5" s="50" t="n">
        <x:v>0.45</x:v>
      </x:c>
      <x:c r="F5" s="50" t="n">
        <x:v>0.2</x:v>
      </x:c>
      <x:c r="G5" s="50" t="n">
        <x:v>0.6</x:v>
      </x:c>
      <x:c r="H5" s="50" t="n">
        <x:v>0.35</x:v>
      </x:c>
      <x:c r="I5" s="50" t="n">
        <x:v>0.35</x:v>
      </x:c>
      <x:c r="J5" s="50" t="str">
        <x:v>Anti-Armor</x:v>
      </x:c>
      <x:c r="K5" s="50" t="str">
        <x:v>Armored targets dominate</x:v>
      </x:c>
    </x:row>
    <x:row r="6">
      <x:c r="A6" s="50" t="str">
        <x:v>Narrow Choke — Melee</x:v>
      </x:c>
      <x:c r="B6" s="50" t="str">
        <x:v>Frontline</x:v>
      </x:c>
      <x:c r="C6" s="50" t="n">
        <x:v>0.35</x:v>
      </x:c>
      <x:c r="D6" s="50" t="n">
        <x:v>0.1</x:v>
      </x:c>
      <x:c r="E6" s="50" t="n">
        <x:v>0.85</x:v>
      </x:c>
      <x:c r="F6" s="50" t="n">
        <x:v>0.85</x:v>
      </x:c>
      <x:c r="G6" s="50" t="n">
        <x:v>0.25</x:v>
      </x:c>
      <x:c r="H6" s="50" t="n">
        <x:v>0.4</x:v>
      </x:c>
      <x:c r="I6" s="50" t="n">
        <x:v>0.45</x:v>
      </x:c>
      <x:c r="J6" s="50" t="str">
        <x:v>Frontline / AOE</x:v>
      </x:c>
      <x:c r="K6" s="50" t="str">
        <x:v>Tight pathing; front rank limits firing</x:v>
      </x:c>
    </x:row>
    <x:row r="7">
      <x:c r="A7" s="50" t="str">
        <x:v>Narrow Choke — Ranged</x:v>
      </x:c>
      <x:c r="B7" s="50" t="str">
        <x:v>Ranged</x:v>
      </x:c>
      <x:c r="C7" s="50" t="n">
        <x:v>0.5</x:v>
      </x:c>
      <x:c r="D7" s="50" t="n">
        <x:v>0.2</x:v>
      </x:c>
      <x:c r="E7" s="50" t="n">
        <x:v>0.75</x:v>
      </x:c>
      <x:c r="F7" s="50" t="n">
        <x:v>0.8</x:v>
      </x:c>
      <x:c r="G7" s="50" t="n">
        <x:v>0.3</x:v>
      </x:c>
      <x:c r="H7" s="50" t="n">
        <x:v>0.35</x:v>
      </x:c>
      <x:c r="I7" s="50" t="n">
        <x:v>0.35</x:v>
      </x:c>
      <x:c r="J7" s="50" t="str">
        <x:v>Ranged / Siege</x:v>
      </x:c>
      <x:c r="K7" s="50" t="str">
        <x:v>Dense traffic creates AOE opportunities</x:v>
      </x:c>
    </x:row>
    <x:row r="8">
      <x:c r="A8" s="50" t="str">
        <x:v>Tank Line</x:v>
      </x:c>
      <x:c r="B8" s="50" t="str">
        <x:v>Mixed Armored</x:v>
      </x:c>
      <x:c r="C8" s="50" t="n">
        <x:v>0.65</x:v>
      </x:c>
      <x:c r="D8" s="50" t="n">
        <x:v>0.15</x:v>
      </x:c>
      <x:c r="E8" s="50" t="n">
        <x:v>0.9</x:v>
      </x:c>
      <x:c r="F8" s="50" t="n">
        <x:v>0.75</x:v>
      </x:c>
      <x:c r="G8" s="50" t="n">
        <x:v>0.35</x:v>
      </x:c>
      <x:c r="H8" s="50" t="n">
        <x:v>0.3</x:v>
      </x:c>
      <x:c r="I8" s="50" t="n">
        <x:v>0.6</x:v>
      </x:c>
      <x:c r="J8" s="50" t="str">
        <x:v>Siege / Anti-Armor</x:v>
      </x:c>
      <x:c r="K8" s="50" t="str">
        <x:v>Prepared tank line with vision</x:v>
      </x:c>
    </x:row>
    <x:row r="9">
      <x:c r="A9" s="50" t="str">
        <x:v>Massive Swarm</x:v>
      </x:c>
      <x:c r="B9" s="50" t="str">
        <x:v>Swarm</x:v>
      </x:c>
      <x:c r="C9" s="50" t="n">
        <x:v>0.2</x:v>
      </x:c>
      <x:c r="D9" s="50" t="n">
        <x:v>0.1</x:v>
      </x:c>
      <x:c r="E9" s="50" t="n">
        <x:v>0.95</x:v>
      </x:c>
      <x:c r="F9" s="50" t="n">
        <x:v>0.35</x:v>
      </x:c>
      <x:c r="G9" s="50" t="n">
        <x:v>0.2</x:v>
      </x:c>
      <x:c r="H9" s="50" t="n">
        <x:v>0.3</x:v>
      </x:c>
      <x:c r="I9" s="50" t="n">
        <x:v>0.4</x:v>
      </x:c>
      <x:c r="J9" s="50" t="str">
        <x:v>AOE / Swarm</x:v>
      </x:c>
      <x:c r="K9" s="50" t="str">
        <x:v>High target count; surround likely</x:v>
      </x:c>
    </x:row>
    <x:row r="10">
      <x:c r="A10" s="50" t="str">
        <x:v>High-Ground Defense</x:v>
      </x:c>
      <x:c r="B10" s="50" t="str">
        <x:v>Mixed</x:v>
      </x:c>
      <x:c r="C10" s="50" t="n">
        <x:v>0.55</x:v>
      </x:c>
      <x:c r="D10" s="50" t="n">
        <x:v>0.15</x:v>
      </x:c>
      <x:c r="E10" s="50" t="n">
        <x:v>0.7</x:v>
      </x:c>
      <x:c r="F10" s="50" t="n">
        <x:v>0.55</x:v>
      </x:c>
      <x:c r="G10" s="50" t="n">
        <x:v>0.5</x:v>
      </x:c>
      <x:c r="H10" s="50" t="n">
        <x:v>0.3</x:v>
      </x:c>
      <x:c r="I10" s="50" t="n">
        <x:v>0.55</x:v>
      </x:c>
      <x:c r="J10" s="50" t="str">
        <x:v>Range / Siege</x:v>
      </x:c>
      <x:c r="K10" s="50" t="str">
        <x:v>Defender firing-position advantage</x:v>
      </x:c>
    </x:row>
    <x:row r="11">
      <x:c r="A11" s="50" t="str">
        <x:v>Anti-Air Screen</x:v>
      </x:c>
      <x:c r="B11" s="50" t="str">
        <x:v>Air pressure</x:v>
      </x:c>
      <x:c r="C11" s="50" t="n">
        <x:v>0.2</x:v>
      </x:c>
      <x:c r="D11" s="50" t="n">
        <x:v>0.8</x:v>
      </x:c>
      <x:c r="E11" s="50" t="n">
        <x:v>0.6</x:v>
      </x:c>
      <x:c r="F11" s="50" t="n">
        <x:v>0.45</x:v>
      </x:c>
      <x:c r="G11" s="50" t="n">
        <x:v>0.55</x:v>
      </x:c>
      <x:c r="H11" s="50" t="n">
        <x:v>0.25</x:v>
      </x:c>
      <x:c r="I11" s="50" t="n">
        <x:v>0.45</x:v>
      </x:c>
      <x:c r="J11" s="50" t="str">
        <x:v>Anti-Air</x:v>
      </x:c>
      <x:c r="K11" s="50" t="str">
        <x:v>High air-target share</x:v>
      </x:c>
    </x:row>
    <x:row r="12">
      <x:c r="A12" s="50" t="str">
        <x:v>Kite Scenario</x:v>
      </x:c>
      <x:c r="B12" s="50" t="str">
        <x:v>Mixed Light</x:v>
      </x:c>
      <x:c r="C12" s="50" t="n">
        <x:v>0.25</x:v>
      </x:c>
      <x:c r="D12" s="50" t="n">
        <x:v>0.2</x:v>
      </x:c>
      <x:c r="E12" s="50" t="n">
        <x:v>0.55</x:v>
      </x:c>
      <x:c r="F12" s="50" t="n">
        <x:v>0.3</x:v>
      </x:c>
      <x:c r="G12" s="50" t="n">
        <x:v>0.65</x:v>
      </x:c>
      <x:c r="H12" s="50" t="n">
        <x:v>0.45</x:v>
      </x:c>
      <x:c r="I12" s="50" t="n">
        <x:v>0.8</x:v>
      </x:c>
      <x:c r="J12" s="50" t="str">
        <x:v>Mobile General</x:v>
      </x:c>
      <x:c r="K12" s="50" t="str">
        <x:v>Micro and range matter strongly</x:v>
      </x:c>
    </x:row>
  </x:sheetData>
  <x:pageMargins left="0.7" right="0.7" top="0.75" bottom="0.75" header="0.3" footer="0.3"/>
  <x:tableParts count="1">
    <x:tablePart xmlns:r="http://schemas.openxmlformats.org/officeDocument/2006/relationships" r:id="Rc2318a20d73d49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>
      <x:c r="A1" s="43" t="str">
        <x:v>V2 Scenario Matrix — per-unit context changes value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8" t="str">
        <x:v>Unit</x:v>
      </x:c>
      <x:c r="B3" s="48" t="str">
        <x:v>Scenario</x:v>
      </x:c>
      <x:c r="C3" s="48" t="str">
        <x:v>Archetype</x:v>
      </x:c>
      <x:c r="D3" s="48" t="str">
        <x:v>Target Armored %</x:v>
      </x:c>
      <x:c r="E3" s="48" t="str">
        <x:v>Target Air %</x:v>
      </x:c>
      <x:c r="F3" s="48" t="str">
        <x:v>Target Density</x:v>
      </x:c>
      <x:c r="G3" s="48" t="str">
        <x:v>Space Tightness</x:v>
      </x:c>
      <x:c r="H3" s="48" t="str">
        <x:v>AOE Counterplay</x:v>
      </x:c>
      <x:c r="I3" s="48" t="str">
        <x:v>Skill Counterplay</x:v>
      </x:c>
      <x:c r="J3" s="48" t="str">
        <x:v>Micro Difficulty</x:v>
      </x:c>
      <x:c r="K3" s="48" t="str">
        <x:v>EHP</x:v>
      </x:c>
      <x:c r="L3" s="48" t="str">
        <x:v>Effective DPS</x:v>
      </x:c>
      <x:c r="M3" s="48" t="str">
        <x:v>Formation Mult</x:v>
      </x:c>
      <x:c r="N3" s="48" t="str">
        <x:v>AOE Mult</x:v>
      </x:c>
      <x:c r="O3" s="48" t="str">
        <x:v>Skill Mult</x:v>
      </x:c>
      <x:c r="P3" s="48" t="str">
        <x:v>Role Fit</x:v>
      </x:c>
      <x:c r="Q3" s="48" t="str">
        <x:v>Scenario Score</x:v>
      </x:c>
      <x:c r="R3" s="48" t="str">
        <x:v>Delta vs Static</x:v>
      </x:c>
      <x:c r="S3" s="48" t="str">
        <x:v>Diagnosis</x:v>
      </x:c>
    </x:row>
    <x:row r="4">
      <x:c r="A4" t="str">
        <x:v>Marine</x:v>
      </x:c>
      <x:c r="B4" t="str">
        <x:v>Open Field — Light Mass</x:v>
      </x:c>
      <x:c r="C4" t="str">
        <x:f>VLOOKUP($A4,'V2_Units'!$A$4:$B$13,2,FALSE)</x:f>
        <x:v>General DPS</x:v>
      </x:c>
      <x:c r="D4" s="16" t="n">
        <x:f>SUMIF('V2_Scenarios'!$A$4:$A$12,$B4,'V2_Scenarios'!$C$4:$C$12)</x:f>
        <x:v>0.1</x:v>
      </x:c>
      <x:c r="E4" s="16" t="n">
        <x:f>SUMIF('V2_Scenarios'!$A$4:$A$12,$B4,'V2_Scenarios'!$D$4:$D$12)</x:f>
        <x:v>0.2</x:v>
      </x:c>
      <x:c r="F4" s="16" t="n">
        <x:f>SUMIF('V2_Scenarios'!$A$4:$A$12,$B4,'V2_Scenarios'!$E$4:$E$12)</x:f>
        <x:v>0.45</x:v>
      </x:c>
      <x:c r="G4" s="16" t="n">
        <x:f>SUMIF('V2_Scenarios'!$A$4:$A$12,$B4,'V2_Scenarios'!$F$4:$F$12)</x:f>
        <x:v>0.2</x:v>
      </x:c>
      <x:c r="H4" s="16" t="n">
        <x:f>SUMIF('V2_Scenarios'!$A$4:$A$12,$B4,'V2_Scenarios'!$G$4:$G$12)</x:f>
        <x:v>0.6</x:v>
      </x:c>
      <x:c r="I4" s="16" t="n">
        <x:f>SUMIF('V2_Scenarios'!$A$4:$A$12,$B4,'V2_Scenarios'!$H$4:$H$12)</x:f>
        <x:v>0.35</x:v>
      </x:c>
      <x:c r="J4" s="16" t="n">
        <x:f>SUMIF('V2_Scenarios'!$A$4:$A$12,$B4,'V2_Scenarios'!$I$4:$I$12)</x:f>
        <x:v>0.25</x:v>
      </x:c>
      <x:c r="K4" s="16" t="n">
        <x:f>SUMIF('V2_Units'!$A$4:$A$13,$A4,'V2_Units'!$W$4:$W$13)</x:f>
        <x:v>45</x:v>
      </x:c>
      <x:c r="L4" s="16" t="n">
        <x:f>(SUMIF('V2_Units'!$A$4:$A$13,$A4,'V2_Units'!$K$4:$K$13)*(1-E4)+SUMIF('V2_Units'!$A$4:$A$13,$A4,'V2_Units'!$L$4:$L$13)*E4+SUMIF('V2_Units'!$A$4:$A$13,$A4,'V2_Units'!$O$4:$O$13)*D4)*(1-0.15*J4)</x:f>
        <x:v>9.432500000000001</x:v>
      </x:c>
      <x:c r="M4" s="16" t="n">
        <x:f>1-G4*SUMIF('V2_Units'!$A$4:$A$13,$A4,'V2_Units'!$Q$4:$Q$13)</x:f>
        <x:v>0.964</x:v>
      </x:c>
      <x:c r="N4" s="16" t="n">
        <x:f>1+(SUMIF('V2_Units'!$A$4:$A$13,$A4,'V2_Units'!$P$4:$P$13)-1)*F4*(1-H4)</x:f>
        <x:v>1</x:v>
      </x:c>
      <x:c r="O4" s="16" t="n">
        <x:f>1+SUMIF('V2_Units'!$A$4:$A$13,$A4,'V2_Units'!$R$4:$R$13)*SUMIF('V2_Units'!$A$4:$A$13,$A4,'V2_Units'!$S$4:$S$13)*(1-I4)</x:f>
        <x:v>1</x:v>
      </x:c>
      <x:c r="P4" s="16" t="n">
        <x:f>IF(OR(AND($C4="Anti-Armor",D4&gt;=0.5),AND($C4="Premium Anti-Armor",D4&gt;=0.5),AND($C4="Ranged DPS",E4&gt;=0.5),AND($C4="Mobile General",J4&gt;=0.6),AND($C4="Siege / AOE",OR($B4="Tank Line",$B4="High-Ground Defense",$B4="Narrow Choke — Ranged")),AND($C4="Premium AOE",F4&gt;=0.7),AND($C4="Swarm",F4&gt;=0.7),AND($C4="Frontline",G4&gt;=0.7)),1.12,1.00)</x:f>
        <x:v>1</x:v>
      </x:c>
      <x:c r="Q4" s="54" t="n">
        <x:f>SUMIF('V2_Units'!$A$4:$A$13,$A4,'V2_Units'!$AD$4:$AD$13)*(L4/MAX(0.01,SUMIF('V2_Units'!$A$4:$A$13,$A4,'V2_Units'!$K$4:$K$13)))*M4*N4*O4*P4</x:f>
        <x:v>0.92785</x:v>
      </x:c>
      <x:c r="R4" s="54" t="n">
        <x:f>Q4-SUMIF('V2_Units'!$A$4:$A$13,$A4,'V2_Units'!$AD$4:$AD$13)</x:f>
        <x:v>-0.07215000000000005</x:v>
      </x:c>
      <x:c r="S4" s="51" t="str">
        <x:f>IF(Q4&gt;'V2_Parameters'!$B$15,"OVER",IF(Q4&lt;'V2_Parameters'!$B$14,"UNDER","OK"))&amp;" | "&amp;IF(P4&gt;1,"role-fit","base")</x:f>
        <x:v>OK | base</x:v>
      </x:c>
    </x:row>
    <x:row r="5">
      <x:c r="A5" t="str">
        <x:v>Marine</x:v>
      </x:c>
      <x:c r="B5" t="str">
        <x:v>Open Field — Armored</x:v>
      </x:c>
      <x:c r="C5" t="str">
        <x:f>VLOOKUP($A5,'V2_Units'!$A$4:$B$13,2,FALSE)</x:f>
        <x:v>General DPS</x:v>
      </x:c>
      <x:c r="D5" s="16" t="n">
        <x:f>SUMIF('V2_Scenarios'!$A$4:$A$12,$B5,'V2_Scenarios'!$C$4:$C$12)</x:f>
        <x:v>0.85</x:v>
      </x:c>
      <x:c r="E5" s="16" t="n">
        <x:f>SUMIF('V2_Scenarios'!$A$4:$A$12,$B5,'V2_Scenarios'!$D$4:$D$12)</x:f>
        <x:v>0.15</x:v>
      </x:c>
      <x:c r="F5" s="16" t="n">
        <x:f>SUMIF('V2_Scenarios'!$A$4:$A$12,$B5,'V2_Scenarios'!$E$4:$E$12)</x:f>
        <x:v>0.45</x:v>
      </x:c>
      <x:c r="G5" s="16" t="n">
        <x:f>SUMIF('V2_Scenarios'!$A$4:$A$12,$B5,'V2_Scenarios'!$F$4:$F$12)</x:f>
        <x:v>0.2</x:v>
      </x:c>
      <x:c r="H5" s="16" t="n">
        <x:f>SUMIF('V2_Scenarios'!$A$4:$A$12,$B5,'V2_Scenarios'!$G$4:$G$12)</x:f>
        <x:v>0.6</x:v>
      </x:c>
      <x:c r="I5" s="16" t="n">
        <x:f>SUMIF('V2_Scenarios'!$A$4:$A$12,$B5,'V2_Scenarios'!$H$4:$H$12)</x:f>
        <x:v>0.35</x:v>
      </x:c>
      <x:c r="J5" s="16" t="n">
        <x:f>SUMIF('V2_Scenarios'!$A$4:$A$12,$B5,'V2_Scenarios'!$I$4:$I$12)</x:f>
        <x:v>0.35</x:v>
      </x:c>
      <x:c r="K5" s="16" t="n">
        <x:f>SUMIF('V2_Units'!$A$4:$A$13,$A5,'V2_Units'!$W$4:$W$13)</x:f>
        <x:v>45</x:v>
      </x:c>
      <x:c r="L5" s="16" t="n">
        <x:f>(SUMIF('V2_Units'!$A$4:$A$13,$A5,'V2_Units'!$K$4:$K$13)*(1-E5)+SUMIF('V2_Units'!$A$4:$A$13,$A5,'V2_Units'!$L$4:$L$13)*E5+SUMIF('V2_Units'!$A$4:$A$13,$A5,'V2_Units'!$O$4:$O$13)*D5)*(1-0.15*J5)</x:f>
        <x:v>9.2855</x:v>
      </x:c>
      <x:c r="M5" s="16" t="n">
        <x:f>1-G5*SUMIF('V2_Units'!$A$4:$A$13,$A5,'V2_Units'!$Q$4:$Q$13)</x:f>
        <x:v>0.964</x:v>
      </x:c>
      <x:c r="N5" s="16" t="n">
        <x:f>1+(SUMIF('V2_Units'!$A$4:$A$13,$A5,'V2_Units'!$P$4:$P$13)-1)*F5*(1-H5)</x:f>
        <x:v>1</x:v>
      </x:c>
      <x:c r="O5" s="16" t="n">
        <x:f>1+SUMIF('V2_Units'!$A$4:$A$13,$A5,'V2_Units'!$R$4:$R$13)*SUMIF('V2_Units'!$A$4:$A$13,$A5,'V2_Units'!$S$4:$S$13)*(1-I5)</x:f>
        <x:v>1</x:v>
      </x:c>
      <x:c r="P5" s="16" t="n">
        <x:f>IF(OR(AND($C5="Anti-Armor",D5&gt;=0.5),AND($C5="Premium Anti-Armor",D5&gt;=0.5),AND($C5="Ranged DPS",E5&gt;=0.5),AND($C5="Mobile General",J5&gt;=0.6),AND($C5="Siege / AOE",OR($B5="Tank Line",$B5="High-Ground Defense",$B5="Narrow Choke — Ranged")),AND($C5="Premium AOE",F5&gt;=0.7),AND($C5="Swarm",F5&gt;=0.7),AND($C5="Frontline",G5&gt;=0.7)),1.12,1.00)</x:f>
        <x:v>1</x:v>
      </x:c>
      <x:c r="Q5" s="54" t="n">
        <x:f>SUMIF('V2_Units'!$A$4:$A$13,$A5,'V2_Units'!$AD$4:$AD$13)*(L5/MAX(0.01,SUMIF('V2_Units'!$A$4:$A$13,$A5,'V2_Units'!$K$4:$K$13)))*M5*N5*O5*P5</x:f>
        <x:v>0.9133899999999999</x:v>
      </x:c>
      <x:c r="R5" s="54" t="n">
        <x:f>Q5-SUMIF('V2_Units'!$A$4:$A$13,$A5,'V2_Units'!$AD$4:$AD$13)</x:f>
        <x:v>-0.08661000000000008</x:v>
      </x:c>
      <x:c r="S5" s="51" t="str">
        <x:f>IF(Q5&gt;'V2_Parameters'!$B$15,"OVER",IF(Q5&lt;'V2_Parameters'!$B$14,"UNDER","OK"))&amp;" | "&amp;IF(P5&gt;1,"role-fit","base")</x:f>
        <x:v>OK | base</x:v>
      </x:c>
    </x:row>
    <x:row r="6">
      <x:c r="A6" t="str">
        <x:v>Marine</x:v>
      </x:c>
      <x:c r="B6" t="str">
        <x:v>Narrow Choke — Melee</x:v>
      </x:c>
      <x:c r="C6" t="str">
        <x:f>VLOOKUP($A6,'V2_Units'!$A$4:$B$13,2,FALSE)</x:f>
        <x:v>General DPS</x:v>
      </x:c>
      <x:c r="D6" s="16" t="n">
        <x:f>SUMIF('V2_Scenarios'!$A$4:$A$12,$B6,'V2_Scenarios'!$C$4:$C$12)</x:f>
        <x:v>0.35</x:v>
      </x:c>
      <x:c r="E6" s="16" t="n">
        <x:f>SUMIF('V2_Scenarios'!$A$4:$A$12,$B6,'V2_Scenarios'!$D$4:$D$12)</x:f>
        <x:v>0.1</x:v>
      </x:c>
      <x:c r="F6" s="16" t="n">
        <x:f>SUMIF('V2_Scenarios'!$A$4:$A$12,$B6,'V2_Scenarios'!$E$4:$E$12)</x:f>
        <x:v>0.85</x:v>
      </x:c>
      <x:c r="G6" s="16" t="n">
        <x:f>SUMIF('V2_Scenarios'!$A$4:$A$12,$B6,'V2_Scenarios'!$F$4:$F$12)</x:f>
        <x:v>0.85</x:v>
      </x:c>
      <x:c r="H6" s="16" t="n">
        <x:f>SUMIF('V2_Scenarios'!$A$4:$A$12,$B6,'V2_Scenarios'!$G$4:$G$12)</x:f>
        <x:v>0.25</x:v>
      </x:c>
      <x:c r="I6" s="16" t="n">
        <x:f>SUMIF('V2_Scenarios'!$A$4:$A$12,$B6,'V2_Scenarios'!$H$4:$H$12)</x:f>
        <x:v>0.4</x:v>
      </x:c>
      <x:c r="J6" s="16" t="n">
        <x:f>SUMIF('V2_Scenarios'!$A$4:$A$12,$B6,'V2_Scenarios'!$I$4:$I$12)</x:f>
        <x:v>0.45</x:v>
      </x:c>
      <x:c r="K6" s="16" t="n">
        <x:f>SUMIF('V2_Units'!$A$4:$A$13,$A6,'V2_Units'!$W$4:$W$13)</x:f>
        <x:v>45</x:v>
      </x:c>
      <x:c r="L6" s="16" t="n">
        <x:f>(SUMIF('V2_Units'!$A$4:$A$13,$A6,'V2_Units'!$K$4:$K$13)*(1-E6)+SUMIF('V2_Units'!$A$4:$A$13,$A6,'V2_Units'!$L$4:$L$13)*E6+SUMIF('V2_Units'!$A$4:$A$13,$A6,'V2_Units'!$O$4:$O$13)*D6)*(1-0.15*J6)</x:f>
        <x:v>9.1385</x:v>
      </x:c>
      <x:c r="M6" s="16" t="n">
        <x:f>1-G6*SUMIF('V2_Units'!$A$4:$A$13,$A6,'V2_Units'!$Q$4:$Q$13)</x:f>
        <x:v>0.847</x:v>
      </x:c>
      <x:c r="N6" s="16" t="n">
        <x:f>1+(SUMIF('V2_Units'!$A$4:$A$13,$A6,'V2_Units'!$P$4:$P$13)-1)*F6*(1-H6)</x:f>
        <x:v>1</x:v>
      </x:c>
      <x:c r="O6" s="16" t="n">
        <x:f>1+SUMIF('V2_Units'!$A$4:$A$13,$A6,'V2_Units'!$R$4:$R$13)*SUMIF('V2_Units'!$A$4:$A$13,$A6,'V2_Units'!$S$4:$S$13)*(1-I6)</x:f>
        <x:v>1</x:v>
      </x:c>
      <x:c r="P6" s="16" t="n">
        <x:f>IF(OR(AND($C6="Anti-Armor",D6&gt;=0.5),AND($C6="Premium Anti-Armor",D6&gt;=0.5),AND($C6="Ranged DPS",E6&gt;=0.5),AND($C6="Mobile General",J6&gt;=0.6),AND($C6="Siege / AOE",OR($B6="Tank Line",$B6="High-Ground Defense",$B6="Narrow Choke — Ranged")),AND($C6="Premium AOE",F6&gt;=0.7),AND($C6="Swarm",F6&gt;=0.7),AND($C6="Frontline",G6&gt;=0.7)),1.12,1.00)</x:f>
        <x:v>1</x:v>
      </x:c>
      <x:c r="Q6" s="54" t="n">
        <x:f>SUMIF('V2_Units'!$A$4:$A$13,$A6,'V2_Units'!$AD$4:$AD$13)*(L6/MAX(0.01,SUMIF('V2_Units'!$A$4:$A$13,$A6,'V2_Units'!$K$4:$K$13)))*M6*N6*O6*P6</x:f>
        <x:v>0.7898275</x:v>
      </x:c>
      <x:c r="R6" s="54" t="n">
        <x:f>Q6-SUMIF('V2_Units'!$A$4:$A$13,$A6,'V2_Units'!$AD$4:$AD$13)</x:f>
        <x:v>-0.21017249999999998</x:v>
      </x:c>
      <x:c r="S6" s="51" t="str">
        <x:f>IF(Q6&gt;'V2_Parameters'!$B$15,"OVER",IF(Q6&lt;'V2_Parameters'!$B$14,"UNDER","OK"))&amp;" | "&amp;IF(P6&gt;1,"role-fit","base")</x:f>
        <x:v>UNDER | base</x:v>
      </x:c>
    </x:row>
    <x:row r="7">
      <x:c r="A7" t="str">
        <x:v>Marine</x:v>
      </x:c>
      <x:c r="B7" t="str">
        <x:v>Narrow Choke — Ranged</x:v>
      </x:c>
      <x:c r="C7" t="str">
        <x:f>VLOOKUP($A7,'V2_Units'!$A$4:$B$13,2,FALSE)</x:f>
        <x:v>General DPS</x:v>
      </x:c>
      <x:c r="D7" s="16" t="n">
        <x:f>SUMIF('V2_Scenarios'!$A$4:$A$12,$B7,'V2_Scenarios'!$C$4:$C$12)</x:f>
        <x:v>0.5</x:v>
      </x:c>
      <x:c r="E7" s="16" t="n">
        <x:f>SUMIF('V2_Scenarios'!$A$4:$A$12,$B7,'V2_Scenarios'!$D$4:$D$12)</x:f>
        <x:v>0.2</x:v>
      </x:c>
      <x:c r="F7" s="16" t="n">
        <x:f>SUMIF('V2_Scenarios'!$A$4:$A$12,$B7,'V2_Scenarios'!$E$4:$E$12)</x:f>
        <x:v>0.75</x:v>
      </x:c>
      <x:c r="G7" s="16" t="n">
        <x:f>SUMIF('V2_Scenarios'!$A$4:$A$12,$B7,'V2_Scenarios'!$F$4:$F$12)</x:f>
        <x:v>0.8</x:v>
      </x:c>
      <x:c r="H7" s="16" t="n">
        <x:f>SUMIF('V2_Scenarios'!$A$4:$A$12,$B7,'V2_Scenarios'!$G$4:$G$12)</x:f>
        <x:v>0.3</x:v>
      </x:c>
      <x:c r="I7" s="16" t="n">
        <x:f>SUMIF('V2_Scenarios'!$A$4:$A$12,$B7,'V2_Scenarios'!$H$4:$H$12)</x:f>
        <x:v>0.35</x:v>
      </x:c>
      <x:c r="J7" s="16" t="n">
        <x:f>SUMIF('V2_Scenarios'!$A$4:$A$12,$B7,'V2_Scenarios'!$I$4:$I$12)</x:f>
        <x:v>0.35</x:v>
      </x:c>
      <x:c r="K7" s="16" t="n">
        <x:f>SUMIF('V2_Units'!$A$4:$A$13,$A7,'V2_Units'!$W$4:$W$13)</x:f>
        <x:v>45</x:v>
      </x:c>
      <x:c r="L7" s="16" t="n">
        <x:f>(SUMIF('V2_Units'!$A$4:$A$13,$A7,'V2_Units'!$K$4:$K$13)*(1-E7)+SUMIF('V2_Units'!$A$4:$A$13,$A7,'V2_Units'!$L$4:$L$13)*E7+SUMIF('V2_Units'!$A$4:$A$13,$A7,'V2_Units'!$O$4:$O$13)*D7)*(1-0.15*J7)</x:f>
        <x:v>9.2855</x:v>
      </x:c>
      <x:c r="M7" s="16" t="n">
        <x:f>1-G7*SUMIF('V2_Units'!$A$4:$A$13,$A7,'V2_Units'!$Q$4:$Q$13)</x:f>
        <x:v>0.856</x:v>
      </x:c>
      <x:c r="N7" s="16" t="n">
        <x:f>1+(SUMIF('V2_Units'!$A$4:$A$13,$A7,'V2_Units'!$P$4:$P$13)-1)*F7*(1-H7)</x:f>
        <x:v>1</x:v>
      </x:c>
      <x:c r="O7" s="16" t="n">
        <x:f>1+SUMIF('V2_Units'!$A$4:$A$13,$A7,'V2_Units'!$R$4:$R$13)*SUMIF('V2_Units'!$A$4:$A$13,$A7,'V2_Units'!$S$4:$S$13)*(1-I7)</x:f>
        <x:v>1</x:v>
      </x:c>
      <x:c r="P7" s="16" t="n">
        <x:f>IF(OR(AND($C7="Anti-Armor",D7&gt;=0.5),AND($C7="Premium Anti-Armor",D7&gt;=0.5),AND($C7="Ranged DPS",E7&gt;=0.5),AND($C7="Mobile General",J7&gt;=0.6),AND($C7="Siege / AOE",OR($B7="Tank Line",$B7="High-Ground Defense",$B7="Narrow Choke — Ranged")),AND($C7="Premium AOE",F7&gt;=0.7),AND($C7="Swarm",F7&gt;=0.7),AND($C7="Frontline",G7&gt;=0.7)),1.12,1.00)</x:f>
        <x:v>1</x:v>
      </x:c>
      <x:c r="Q7" s="54" t="n">
        <x:f>SUMIF('V2_Units'!$A$4:$A$13,$A7,'V2_Units'!$AD$4:$AD$13)*(L7/MAX(0.01,SUMIF('V2_Units'!$A$4:$A$13,$A7,'V2_Units'!$K$4:$K$13)))*M7*N7*O7*P7</x:f>
        <x:v>0.81106</x:v>
      </x:c>
      <x:c r="R7" s="54" t="n">
        <x:f>Q7-SUMIF('V2_Units'!$A$4:$A$13,$A7,'V2_Units'!$AD$4:$AD$13)</x:f>
        <x:v>-0.18894</x:v>
      </x:c>
      <x:c r="S7" s="51" t="str">
        <x:f>IF(Q7&gt;'V2_Parameters'!$B$15,"OVER",IF(Q7&lt;'V2_Parameters'!$B$14,"UNDER","OK"))&amp;" | "&amp;IF(P7&gt;1,"role-fit","base")</x:f>
        <x:v>UNDER | base</x:v>
      </x:c>
    </x:row>
    <x:row r="8">
      <x:c r="A8" t="str">
        <x:v>Marine</x:v>
      </x:c>
      <x:c r="B8" t="str">
        <x:v>Tank Line</x:v>
      </x:c>
      <x:c r="C8" t="str">
        <x:f>VLOOKUP($A8,'V2_Units'!$A$4:$B$13,2,FALSE)</x:f>
        <x:v>General DPS</x:v>
      </x:c>
      <x:c r="D8" s="16" t="n">
        <x:f>SUMIF('V2_Scenarios'!$A$4:$A$12,$B8,'V2_Scenarios'!$C$4:$C$12)</x:f>
        <x:v>0.65</x:v>
      </x:c>
      <x:c r="E8" s="16" t="n">
        <x:f>SUMIF('V2_Scenarios'!$A$4:$A$12,$B8,'V2_Scenarios'!$D$4:$D$12)</x:f>
        <x:v>0.15</x:v>
      </x:c>
      <x:c r="F8" s="16" t="n">
        <x:f>SUMIF('V2_Scenarios'!$A$4:$A$12,$B8,'V2_Scenarios'!$E$4:$E$12)</x:f>
        <x:v>0.9</x:v>
      </x:c>
      <x:c r="G8" s="16" t="n">
        <x:f>SUMIF('V2_Scenarios'!$A$4:$A$12,$B8,'V2_Scenarios'!$F$4:$F$12)</x:f>
        <x:v>0.75</x:v>
      </x:c>
      <x:c r="H8" s="16" t="n">
        <x:f>SUMIF('V2_Scenarios'!$A$4:$A$12,$B8,'V2_Scenarios'!$G$4:$G$12)</x:f>
        <x:v>0.35</x:v>
      </x:c>
      <x:c r="I8" s="16" t="n">
        <x:f>SUMIF('V2_Scenarios'!$A$4:$A$12,$B8,'V2_Scenarios'!$H$4:$H$12)</x:f>
        <x:v>0.3</x:v>
      </x:c>
      <x:c r="J8" s="16" t="n">
        <x:f>SUMIF('V2_Scenarios'!$A$4:$A$12,$B8,'V2_Scenarios'!$I$4:$I$12)</x:f>
        <x:v>0.6</x:v>
      </x:c>
      <x:c r="K8" s="16" t="n">
        <x:f>SUMIF('V2_Units'!$A$4:$A$13,$A8,'V2_Units'!$W$4:$W$13)</x:f>
        <x:v>45</x:v>
      </x:c>
      <x:c r="L8" s="16" t="n">
        <x:f>(SUMIF('V2_Units'!$A$4:$A$13,$A8,'V2_Units'!$K$4:$K$13)*(1-E8)+SUMIF('V2_Units'!$A$4:$A$13,$A8,'V2_Units'!$L$4:$L$13)*E8+SUMIF('V2_Units'!$A$4:$A$13,$A8,'V2_Units'!$O$4:$O$13)*D8)*(1-0.15*J8)</x:f>
        <x:v>8.918000000000001</x:v>
      </x:c>
      <x:c r="M8" s="16" t="n">
        <x:f>1-G8*SUMIF('V2_Units'!$A$4:$A$13,$A8,'V2_Units'!$Q$4:$Q$13)</x:f>
        <x:v>0.865</x:v>
      </x:c>
      <x:c r="N8" s="16" t="n">
        <x:f>1+(SUMIF('V2_Units'!$A$4:$A$13,$A8,'V2_Units'!$P$4:$P$13)-1)*F8*(1-H8)</x:f>
        <x:v>1</x:v>
      </x:c>
      <x:c r="O8" s="16" t="n">
        <x:f>1+SUMIF('V2_Units'!$A$4:$A$13,$A8,'V2_Units'!$R$4:$R$13)*SUMIF('V2_Units'!$A$4:$A$13,$A8,'V2_Units'!$S$4:$S$13)*(1-I8)</x:f>
        <x:v>1</x:v>
      </x:c>
      <x:c r="P8" s="16" t="n">
        <x:f>IF(OR(AND($C8="Anti-Armor",D8&gt;=0.5),AND($C8="Premium Anti-Armor",D8&gt;=0.5),AND($C8="Ranged DPS",E8&gt;=0.5),AND($C8="Mobile General",J8&gt;=0.6),AND($C8="Siege / AOE",OR($B8="Tank Line",$B8="High-Ground Defense",$B8="Narrow Choke — Ranged")),AND($C8="Premium AOE",F8&gt;=0.7),AND($C8="Swarm",F8&gt;=0.7),AND($C8="Frontline",G8&gt;=0.7)),1.12,1.00)</x:f>
        <x:v>1</x:v>
      </x:c>
      <x:c r="Q8" s="54" t="n">
        <x:f>SUMIF('V2_Units'!$A$4:$A$13,$A8,'V2_Units'!$AD$4:$AD$13)*(L8/MAX(0.01,SUMIF('V2_Units'!$A$4:$A$13,$A8,'V2_Units'!$K$4:$K$13)))*M8*N8*O8*P8</x:f>
        <x:v>0.78715</x:v>
      </x:c>
      <x:c r="R8" s="54" t="n">
        <x:f>Q8-SUMIF('V2_Units'!$A$4:$A$13,$A8,'V2_Units'!$AD$4:$AD$13)</x:f>
        <x:v>-0.21284999999999998</x:v>
      </x:c>
      <x:c r="S8" s="51" t="str">
        <x:f>IF(Q8&gt;'V2_Parameters'!$B$15,"OVER",IF(Q8&lt;'V2_Parameters'!$B$14,"UNDER","OK"))&amp;" | "&amp;IF(P8&gt;1,"role-fit","base")</x:f>
        <x:v>UNDER | base</x:v>
      </x:c>
    </x:row>
    <x:row r="9">
      <x:c r="A9" t="str">
        <x:v>Marine</x:v>
      </x:c>
      <x:c r="B9" t="str">
        <x:v>Massive Swarm</x:v>
      </x:c>
      <x:c r="C9" t="str">
        <x:f>VLOOKUP($A9,'V2_Units'!$A$4:$B$13,2,FALSE)</x:f>
        <x:v>General DPS</x:v>
      </x:c>
      <x:c r="D9" s="16" t="n">
        <x:f>SUMIF('V2_Scenarios'!$A$4:$A$12,$B9,'V2_Scenarios'!$C$4:$C$12)</x:f>
        <x:v>0.2</x:v>
      </x:c>
      <x:c r="E9" s="16" t="n">
        <x:f>SUMIF('V2_Scenarios'!$A$4:$A$12,$B9,'V2_Scenarios'!$D$4:$D$12)</x:f>
        <x:v>0.1</x:v>
      </x:c>
      <x:c r="F9" s="16" t="n">
        <x:f>SUMIF('V2_Scenarios'!$A$4:$A$12,$B9,'V2_Scenarios'!$E$4:$E$12)</x:f>
        <x:v>0.95</x:v>
      </x:c>
      <x:c r="G9" s="16" t="n">
        <x:f>SUMIF('V2_Scenarios'!$A$4:$A$12,$B9,'V2_Scenarios'!$F$4:$F$12)</x:f>
        <x:v>0.35</x:v>
      </x:c>
      <x:c r="H9" s="16" t="n">
        <x:f>SUMIF('V2_Scenarios'!$A$4:$A$12,$B9,'V2_Scenarios'!$G$4:$G$12)</x:f>
        <x:v>0.2</x:v>
      </x:c>
      <x:c r="I9" s="16" t="n">
        <x:f>SUMIF('V2_Scenarios'!$A$4:$A$12,$B9,'V2_Scenarios'!$H$4:$H$12)</x:f>
        <x:v>0.3</x:v>
      </x:c>
      <x:c r="J9" s="16" t="n">
        <x:f>SUMIF('V2_Scenarios'!$A$4:$A$12,$B9,'V2_Scenarios'!$I$4:$I$12)</x:f>
        <x:v>0.4</x:v>
      </x:c>
      <x:c r="K9" s="16" t="n">
        <x:f>SUMIF('V2_Units'!$A$4:$A$13,$A9,'V2_Units'!$W$4:$W$13)</x:f>
        <x:v>45</x:v>
      </x:c>
      <x:c r="L9" s="16" t="n">
        <x:f>(SUMIF('V2_Units'!$A$4:$A$13,$A9,'V2_Units'!$K$4:$K$13)*(1-E9)+SUMIF('V2_Units'!$A$4:$A$13,$A9,'V2_Units'!$L$4:$L$13)*E9+SUMIF('V2_Units'!$A$4:$A$13,$A9,'V2_Units'!$O$4:$O$13)*D9)*(1-0.15*J9)</x:f>
        <x:v>9.212</x:v>
      </x:c>
      <x:c r="M9" s="16" t="n">
        <x:f>1-G9*SUMIF('V2_Units'!$A$4:$A$13,$A9,'V2_Units'!$Q$4:$Q$13)</x:f>
        <x:v>0.937</x:v>
      </x:c>
      <x:c r="N9" s="16" t="n">
        <x:f>1+(SUMIF('V2_Units'!$A$4:$A$13,$A9,'V2_Units'!$P$4:$P$13)-1)*F9*(1-H9)</x:f>
        <x:v>1</x:v>
      </x:c>
      <x:c r="O9" s="16" t="n">
        <x:f>1+SUMIF('V2_Units'!$A$4:$A$13,$A9,'V2_Units'!$R$4:$R$13)*SUMIF('V2_Units'!$A$4:$A$13,$A9,'V2_Units'!$S$4:$S$13)*(1-I9)</x:f>
        <x:v>1</x:v>
      </x:c>
      <x:c r="P9" s="16" t="n">
        <x:f>IF(OR(AND($C9="Anti-Armor",D9&gt;=0.5),AND($C9="Premium Anti-Armor",D9&gt;=0.5),AND($C9="Ranged DPS",E9&gt;=0.5),AND($C9="Mobile General",J9&gt;=0.6),AND($C9="Siege / AOE",OR($B9="Tank Line",$B9="High-Ground Defense",$B9="Narrow Choke — Ranged")),AND($C9="Premium AOE",F9&gt;=0.7),AND($C9="Swarm",F9&gt;=0.7),AND($C9="Frontline",G9&gt;=0.7)),1.12,1.00)</x:f>
        <x:v>1</x:v>
      </x:c>
      <x:c r="Q9" s="54" t="n">
        <x:f>SUMIF('V2_Units'!$A$4:$A$13,$A9,'V2_Units'!$AD$4:$AD$13)*(L9/MAX(0.01,SUMIF('V2_Units'!$A$4:$A$13,$A9,'V2_Units'!$K$4:$K$13)))*M9*N9*O9*P9</x:f>
        <x:v>0.88078</x:v>
      </x:c>
      <x:c r="R9" s="54" t="n">
        <x:f>Q9-SUMIF('V2_Units'!$A$4:$A$13,$A9,'V2_Units'!$AD$4:$AD$13)</x:f>
        <x:v>-0.11921999999999999</x:v>
      </x:c>
      <x:c r="S9" s="51" t="str">
        <x:f>IF(Q9&gt;'V2_Parameters'!$B$15,"OVER",IF(Q9&lt;'V2_Parameters'!$B$14,"UNDER","OK"))&amp;" | "&amp;IF(P9&gt;1,"role-fit","base")</x:f>
        <x:v>UNDER | base</x:v>
      </x:c>
    </x:row>
    <x:row r="10">
      <x:c r="A10" t="str">
        <x:v>Marine</x:v>
      </x:c>
      <x:c r="B10" t="str">
        <x:v>High-Ground Defense</x:v>
      </x:c>
      <x:c r="C10" t="str">
        <x:f>VLOOKUP($A10,'V2_Units'!$A$4:$B$13,2,FALSE)</x:f>
        <x:v>General DPS</x:v>
      </x:c>
      <x:c r="D10" s="16" t="n">
        <x:f>SUMIF('V2_Scenarios'!$A$4:$A$12,$B10,'V2_Scenarios'!$C$4:$C$12)</x:f>
        <x:v>0.55</x:v>
      </x:c>
      <x:c r="E10" s="16" t="n">
        <x:f>SUMIF('V2_Scenarios'!$A$4:$A$12,$B10,'V2_Scenarios'!$D$4:$D$12)</x:f>
        <x:v>0.15</x:v>
      </x:c>
      <x:c r="F10" s="16" t="n">
        <x:f>SUMIF('V2_Scenarios'!$A$4:$A$12,$B10,'V2_Scenarios'!$E$4:$E$12)</x:f>
        <x:v>0.7</x:v>
      </x:c>
      <x:c r="G10" s="16" t="n">
        <x:f>SUMIF('V2_Scenarios'!$A$4:$A$12,$B10,'V2_Scenarios'!$F$4:$F$12)</x:f>
        <x:v>0.55</x:v>
      </x:c>
      <x:c r="H10" s="16" t="n">
        <x:f>SUMIF('V2_Scenarios'!$A$4:$A$12,$B10,'V2_Scenarios'!$G$4:$G$12)</x:f>
        <x:v>0.5</x:v>
      </x:c>
      <x:c r="I10" s="16" t="n">
        <x:f>SUMIF('V2_Scenarios'!$A$4:$A$12,$B10,'V2_Scenarios'!$H$4:$H$12)</x:f>
        <x:v>0.3</x:v>
      </x:c>
      <x:c r="J10" s="16" t="n">
        <x:f>SUMIF('V2_Scenarios'!$A$4:$A$12,$B10,'V2_Scenarios'!$I$4:$I$12)</x:f>
        <x:v>0.55</x:v>
      </x:c>
      <x:c r="K10" s="16" t="n">
        <x:f>SUMIF('V2_Units'!$A$4:$A$13,$A10,'V2_Units'!$W$4:$W$13)</x:f>
        <x:v>45</x:v>
      </x:c>
      <x:c r="L10" s="16" t="n">
        <x:f>(SUMIF('V2_Units'!$A$4:$A$13,$A10,'V2_Units'!$K$4:$K$13)*(1-E10)+SUMIF('V2_Units'!$A$4:$A$13,$A10,'V2_Units'!$L$4:$L$13)*E10+SUMIF('V2_Units'!$A$4:$A$13,$A10,'V2_Units'!$O$4:$O$13)*D10)*(1-0.15*J10)</x:f>
        <x:v>8.9915</x:v>
      </x:c>
      <x:c r="M10" s="16" t="n">
        <x:f>1-G10*SUMIF('V2_Units'!$A$4:$A$13,$A10,'V2_Units'!$Q$4:$Q$13)</x:f>
        <x:v>0.901</x:v>
      </x:c>
      <x:c r="N10" s="16" t="n">
        <x:f>1+(SUMIF('V2_Units'!$A$4:$A$13,$A10,'V2_Units'!$P$4:$P$13)-1)*F10*(1-H10)</x:f>
        <x:v>1</x:v>
      </x:c>
      <x:c r="O10" s="16" t="n">
        <x:f>1+SUMIF('V2_Units'!$A$4:$A$13,$A10,'V2_Units'!$R$4:$R$13)*SUMIF('V2_Units'!$A$4:$A$13,$A10,'V2_Units'!$S$4:$S$13)*(1-I10)</x:f>
        <x:v>1</x:v>
      </x:c>
      <x:c r="P10" s="16" t="n">
        <x:f>IF(OR(AND($C10="Anti-Armor",D10&gt;=0.5),AND($C10="Premium Anti-Armor",D10&gt;=0.5),AND($C10="Ranged DPS",E10&gt;=0.5),AND($C10="Mobile General",J10&gt;=0.6),AND($C10="Siege / AOE",OR($B10="Tank Line",$B10="High-Ground Defense",$B10="Narrow Choke — Ranged")),AND($C10="Premium AOE",F10&gt;=0.7),AND($C10="Swarm",F10&gt;=0.7),AND($C10="Frontline",G10&gt;=0.7)),1.12,1.00)</x:f>
        <x:v>1</x:v>
      </x:c>
      <x:c r="Q10" s="54" t="n">
        <x:f>SUMIF('V2_Units'!$A$4:$A$13,$A10,'V2_Units'!$AD$4:$AD$13)*(L10/MAX(0.01,SUMIF('V2_Units'!$A$4:$A$13,$A10,'V2_Units'!$K$4:$K$13)))*M10*N10*O10*P10</x:f>
        <x:v>0.8266675</x:v>
      </x:c>
      <x:c r="R10" s="54" t="n">
        <x:f>Q10-SUMIF('V2_Units'!$A$4:$A$13,$A10,'V2_Units'!$AD$4:$AD$13)</x:f>
        <x:v>-0.1733325</x:v>
      </x:c>
      <x:c r="S10" s="51" t="str">
        <x:f>IF(Q10&gt;'V2_Parameters'!$B$15,"OVER",IF(Q10&lt;'V2_Parameters'!$B$14,"UNDER","OK"))&amp;" | "&amp;IF(P10&gt;1,"role-fit","base")</x:f>
        <x:v>UNDER | base</x:v>
      </x:c>
    </x:row>
    <x:row r="11">
      <x:c r="A11" t="str">
        <x:v>Marine</x:v>
      </x:c>
      <x:c r="B11" t="str">
        <x:v>Anti-Air Screen</x:v>
      </x:c>
      <x:c r="C11" t="str">
        <x:f>VLOOKUP($A11,'V2_Units'!$A$4:$B$13,2,FALSE)</x:f>
        <x:v>General DPS</x:v>
      </x:c>
      <x:c r="D11" s="16" t="n">
        <x:f>SUMIF('V2_Scenarios'!$A$4:$A$12,$B11,'V2_Scenarios'!$C$4:$C$12)</x:f>
        <x:v>0.2</x:v>
      </x:c>
      <x:c r="E11" s="16" t="n">
        <x:f>SUMIF('V2_Scenarios'!$A$4:$A$12,$B11,'V2_Scenarios'!$D$4:$D$12)</x:f>
        <x:v>0.8</x:v>
      </x:c>
      <x:c r="F11" s="16" t="n">
        <x:f>SUMIF('V2_Scenarios'!$A$4:$A$12,$B11,'V2_Scenarios'!$E$4:$E$12)</x:f>
        <x:v>0.6</x:v>
      </x:c>
      <x:c r="G11" s="16" t="n">
        <x:f>SUMIF('V2_Scenarios'!$A$4:$A$12,$B11,'V2_Scenarios'!$F$4:$F$12)</x:f>
        <x:v>0.45</x:v>
      </x:c>
      <x:c r="H11" s="16" t="n">
        <x:f>SUMIF('V2_Scenarios'!$A$4:$A$12,$B11,'V2_Scenarios'!$G$4:$G$12)</x:f>
        <x:v>0.55</x:v>
      </x:c>
      <x:c r="I11" s="16" t="n">
        <x:f>SUMIF('V2_Scenarios'!$A$4:$A$12,$B11,'V2_Scenarios'!$H$4:$H$12)</x:f>
        <x:v>0.25</x:v>
      </x:c>
      <x:c r="J11" s="16" t="n">
        <x:f>SUMIF('V2_Scenarios'!$A$4:$A$12,$B11,'V2_Scenarios'!$I$4:$I$12)</x:f>
        <x:v>0.45</x:v>
      </x:c>
      <x:c r="K11" s="16" t="n">
        <x:f>SUMIF('V2_Units'!$A$4:$A$13,$A11,'V2_Units'!$W$4:$W$13)</x:f>
        <x:v>45</x:v>
      </x:c>
      <x:c r="L11" s="16" t="n">
        <x:f>(SUMIF('V2_Units'!$A$4:$A$13,$A11,'V2_Units'!$K$4:$K$13)*(1-E11)+SUMIF('V2_Units'!$A$4:$A$13,$A11,'V2_Units'!$L$4:$L$13)*E11+SUMIF('V2_Units'!$A$4:$A$13,$A11,'V2_Units'!$O$4:$O$13)*D11)*(1-0.15*J11)</x:f>
        <x:v>9.1385</x:v>
      </x:c>
      <x:c r="M11" s="16" t="n">
        <x:f>1-G11*SUMIF('V2_Units'!$A$4:$A$13,$A11,'V2_Units'!$Q$4:$Q$13)</x:f>
        <x:v>0.919</x:v>
      </x:c>
      <x:c r="N11" s="16" t="n">
        <x:f>1+(SUMIF('V2_Units'!$A$4:$A$13,$A11,'V2_Units'!$P$4:$P$13)-1)*F11*(1-H11)</x:f>
        <x:v>1</x:v>
      </x:c>
      <x:c r="O11" s="16" t="n">
        <x:f>1+SUMIF('V2_Units'!$A$4:$A$13,$A11,'V2_Units'!$R$4:$R$13)*SUMIF('V2_Units'!$A$4:$A$13,$A11,'V2_Units'!$S$4:$S$13)*(1-I11)</x:f>
        <x:v>1</x:v>
      </x:c>
      <x:c r="P11" s="16" t="n">
        <x:f>IF(OR(AND($C11="Anti-Armor",D11&gt;=0.5),AND($C11="Premium Anti-Armor",D11&gt;=0.5),AND($C11="Ranged DPS",E11&gt;=0.5),AND($C11="Mobile General",J11&gt;=0.6),AND($C11="Siege / AOE",OR($B11="Tank Line",$B11="High-Ground Defense",$B11="Narrow Choke — Ranged")),AND($C11="Premium AOE",F11&gt;=0.7),AND($C11="Swarm",F11&gt;=0.7),AND($C11="Frontline",G11&gt;=0.7)),1.12,1.00)</x:f>
        <x:v>1</x:v>
      </x:c>
      <x:c r="Q11" s="54" t="n">
        <x:f>SUMIF('V2_Units'!$A$4:$A$13,$A11,'V2_Units'!$AD$4:$AD$13)*(L11/MAX(0.01,SUMIF('V2_Units'!$A$4:$A$13,$A11,'V2_Units'!$K$4:$K$13)))*M11*N11*O11*P11</x:f>
        <x:v>0.8569675</x:v>
      </x:c>
      <x:c r="R11" s="54" t="n">
        <x:f>Q11-SUMIF('V2_Units'!$A$4:$A$13,$A11,'V2_Units'!$AD$4:$AD$13)</x:f>
        <x:v>-0.1430325</x:v>
      </x:c>
      <x:c r="S11" s="51" t="str">
        <x:f>IF(Q11&gt;'V2_Parameters'!$B$15,"OVER",IF(Q11&lt;'V2_Parameters'!$B$14,"UNDER","OK"))&amp;" | "&amp;IF(P11&gt;1,"role-fit","base")</x:f>
        <x:v>UNDER | base</x:v>
      </x:c>
    </x:row>
    <x:row r="12">
      <x:c r="A12" t="str">
        <x:v>Marine</x:v>
      </x:c>
      <x:c r="B12" t="str">
        <x:v>Kite Scenario</x:v>
      </x:c>
      <x:c r="C12" t="str">
        <x:f>VLOOKUP($A12,'V2_Units'!$A$4:$B$13,2,FALSE)</x:f>
        <x:v>General DPS</x:v>
      </x:c>
      <x:c r="D12" s="16" t="n">
        <x:f>SUMIF('V2_Scenarios'!$A$4:$A$12,$B12,'V2_Scenarios'!$C$4:$C$12)</x:f>
        <x:v>0.25</x:v>
      </x:c>
      <x:c r="E12" s="16" t="n">
        <x:f>SUMIF('V2_Scenarios'!$A$4:$A$12,$B12,'V2_Scenarios'!$D$4:$D$12)</x:f>
        <x:v>0.2</x:v>
      </x:c>
      <x:c r="F12" s="16" t="n">
        <x:f>SUMIF('V2_Scenarios'!$A$4:$A$12,$B12,'V2_Scenarios'!$E$4:$E$12)</x:f>
        <x:v>0.55</x:v>
      </x:c>
      <x:c r="G12" s="16" t="n">
        <x:f>SUMIF('V2_Scenarios'!$A$4:$A$12,$B12,'V2_Scenarios'!$F$4:$F$12)</x:f>
        <x:v>0.3</x:v>
      </x:c>
      <x:c r="H12" s="16" t="n">
        <x:f>SUMIF('V2_Scenarios'!$A$4:$A$12,$B12,'V2_Scenarios'!$G$4:$G$12)</x:f>
        <x:v>0.65</x:v>
      </x:c>
      <x:c r="I12" s="16" t="n">
        <x:f>SUMIF('V2_Scenarios'!$A$4:$A$12,$B12,'V2_Scenarios'!$H$4:$H$12)</x:f>
        <x:v>0.45</x:v>
      </x:c>
      <x:c r="J12" s="16" t="n">
        <x:f>SUMIF('V2_Scenarios'!$A$4:$A$12,$B12,'V2_Scenarios'!$I$4:$I$12)</x:f>
        <x:v>0.8</x:v>
      </x:c>
      <x:c r="K12" s="16" t="n">
        <x:f>SUMIF('V2_Units'!$A$4:$A$13,$A12,'V2_Units'!$W$4:$W$13)</x:f>
        <x:v>45</x:v>
      </x:c>
      <x:c r="L12" s="16" t="n">
        <x:f>(SUMIF('V2_Units'!$A$4:$A$13,$A12,'V2_Units'!$K$4:$K$13)*(1-E12)+SUMIF('V2_Units'!$A$4:$A$13,$A12,'V2_Units'!$L$4:$L$13)*E12+SUMIF('V2_Units'!$A$4:$A$13,$A12,'V2_Units'!$O$4:$O$13)*D12)*(1-0.15*J12)</x:f>
        <x:v>8.624</x:v>
      </x:c>
      <x:c r="M12" s="16" t="n">
        <x:f>1-G12*SUMIF('V2_Units'!$A$4:$A$13,$A12,'V2_Units'!$Q$4:$Q$13)</x:f>
        <x:v>0.946</x:v>
      </x:c>
      <x:c r="N12" s="16" t="n">
        <x:f>1+(SUMIF('V2_Units'!$A$4:$A$13,$A12,'V2_Units'!$P$4:$P$13)-1)*F12*(1-H12)</x:f>
        <x:v>1</x:v>
      </x:c>
      <x:c r="O12" s="16" t="n">
        <x:f>1+SUMIF('V2_Units'!$A$4:$A$13,$A12,'V2_Units'!$R$4:$R$13)*SUMIF('V2_Units'!$A$4:$A$13,$A12,'V2_Units'!$S$4:$S$13)*(1-I12)</x:f>
        <x:v>1</x:v>
      </x:c>
      <x:c r="P12" s="16" t="n">
        <x:f>IF(OR(AND($C12="Anti-Armor",D12&gt;=0.5),AND($C12="Premium Anti-Armor",D12&gt;=0.5),AND($C12="Ranged DPS",E12&gt;=0.5),AND($C12="Mobile General",J12&gt;=0.6),AND($C12="Siege / AOE",OR($B12="Tank Line",$B12="High-Ground Defense",$B12="Narrow Choke — Ranged")),AND($C12="Premium AOE",F12&gt;=0.7),AND($C12="Swarm",F12&gt;=0.7),AND($C12="Frontline",G12&gt;=0.7)),1.12,1.00)</x:f>
        <x:v>1</x:v>
      </x:c>
      <x:c r="Q12" s="54" t="n">
        <x:f>SUMIF('V2_Units'!$A$4:$A$13,$A12,'V2_Units'!$AD$4:$AD$13)*(L12/MAX(0.01,SUMIF('V2_Units'!$A$4:$A$13,$A12,'V2_Units'!$K$4:$K$13)))*M12*N12*O12*P12</x:f>
        <x:v>0.83248</x:v>
      </x:c>
      <x:c r="R12" s="54" t="n">
        <x:f>Q12-SUMIF('V2_Units'!$A$4:$A$13,$A12,'V2_Units'!$AD$4:$AD$13)</x:f>
        <x:v>-0.16752</x:v>
      </x:c>
      <x:c r="S12" s="51" t="str">
        <x:f>IF(Q12&gt;'V2_Parameters'!$B$15,"OVER",IF(Q12&lt;'V2_Parameters'!$B$14,"UNDER","OK"))&amp;" | "&amp;IF(P12&gt;1,"role-fit","base")</x:f>
        <x:v>UNDER | base</x:v>
      </x:c>
    </x:row>
    <x:row r="13">
      <x:c r="A13" t="str">
        <x:v>Marauder</x:v>
      </x:c>
      <x:c r="B13" t="str">
        <x:v>Open Field — Light Mass</x:v>
      </x:c>
      <x:c r="C13" t="str">
        <x:f>VLOOKUP($A13,'V2_Units'!$A$4:$B$13,2,FALSE)</x:f>
        <x:v>Anti-Armor</x:v>
      </x:c>
      <x:c r="D13" s="16" t="n">
        <x:f>SUMIF('V2_Scenarios'!$A$4:$A$12,$B13,'V2_Scenarios'!$C$4:$C$12)</x:f>
        <x:v>0.1</x:v>
      </x:c>
      <x:c r="E13" s="16" t="n">
        <x:f>SUMIF('V2_Scenarios'!$A$4:$A$12,$B13,'V2_Scenarios'!$D$4:$D$12)</x:f>
        <x:v>0.2</x:v>
      </x:c>
      <x:c r="F13" s="16" t="n">
        <x:f>SUMIF('V2_Scenarios'!$A$4:$A$12,$B13,'V2_Scenarios'!$E$4:$E$12)</x:f>
        <x:v>0.45</x:v>
      </x:c>
      <x:c r="G13" s="16" t="n">
        <x:f>SUMIF('V2_Scenarios'!$A$4:$A$12,$B13,'V2_Scenarios'!$F$4:$F$12)</x:f>
        <x:v>0.2</x:v>
      </x:c>
      <x:c r="H13" s="16" t="n">
        <x:f>SUMIF('V2_Scenarios'!$A$4:$A$12,$B13,'V2_Scenarios'!$G$4:$G$12)</x:f>
        <x:v>0.6</x:v>
      </x:c>
      <x:c r="I13" s="16" t="n">
        <x:f>SUMIF('V2_Scenarios'!$A$4:$A$12,$B13,'V2_Scenarios'!$H$4:$H$12)</x:f>
        <x:v>0.35</x:v>
      </x:c>
      <x:c r="J13" s="16" t="n">
        <x:f>SUMIF('V2_Scenarios'!$A$4:$A$12,$B13,'V2_Scenarios'!$I$4:$I$12)</x:f>
        <x:v>0.25</x:v>
      </x:c>
      <x:c r="K13" s="16" t="n">
        <x:f>SUMIF('V2_Units'!$A$4:$A$13,$A13,'V2_Units'!$W$4:$W$13)</x:f>
        <x:v>125</x:v>
      </x:c>
      <x:c r="L13" s="16" t="n">
        <x:f>(SUMIF('V2_Units'!$A$4:$A$13,$A13,'V2_Units'!$K$4:$K$13)*(1-E13)+SUMIF('V2_Units'!$A$4:$A$13,$A13,'V2_Units'!$L$4:$L$13)*E13+SUMIF('V2_Units'!$A$4:$A$13,$A13,'V2_Units'!$O$4:$O$13)*D13)*(1-0.15*J13)</x:f>
        <x:v>9.846375</x:v>
      </x:c>
      <x:c r="M13" s="16" t="n">
        <x:f>1-G13*SUMIF('V2_Units'!$A$4:$A$13,$A13,'V2_Units'!$Q$4:$Q$13)</x:f>
        <x:v>0.944</x:v>
      </x:c>
      <x:c r="N13" s="16" t="n">
        <x:f>1+(SUMIF('V2_Units'!$A$4:$A$13,$A13,'V2_Units'!$P$4:$P$13)-1)*F13*(1-H13)</x:f>
        <x:v>1</x:v>
      </x:c>
      <x:c r="O13" s="16" t="n">
        <x:f>1+SUMIF('V2_Units'!$A$4:$A$13,$A13,'V2_Units'!$R$4:$R$13)*SUMIF('V2_Units'!$A$4:$A$13,$A13,'V2_Units'!$S$4:$S$13)*(1-I13)</x:f>
        <x:v>1.0585</x:v>
      </x:c>
      <x:c r="P13" s="16" t="n">
        <x:f>IF(OR(AND($C13="Anti-Armor",D13&gt;=0.5),AND($C13="Premium Anti-Armor",D13&gt;=0.5),AND($C13="Ranged DPS",E13&gt;=0.5),AND($C13="Mobile General",J13&gt;=0.6),AND($C13="Siege / AOE",OR($B13="Tank Line",$B13="High-Ground Defense",$B13="Narrow Choke — Ranged")),AND($C13="Premium AOE",F13&gt;=0.7),AND($C13="Swarm",F13&gt;=0.7),AND($C13="Frontline",G13&gt;=0.7)),1.12,1.00)</x:f>
        <x:v>1</x:v>
      </x:c>
      <x:c r="Q13" s="54" t="n">
        <x:f>SUMIF('V2_Units'!$A$4:$A$13,$A13,'V2_Units'!$AD$4:$AD$13)*(L13/MAX(0.01,SUMIF('V2_Units'!$A$4:$A$13,$A13,'V2_Units'!$K$4:$K$13)))*M13*N13*O13*P13</x:f>
        <x:v>1.1751468778279996</x:v>
      </x:c>
      <x:c r="R13" s="54" t="n">
        <x:f>Q13-SUMIF('V2_Units'!$A$4:$A$13,$A13,'V2_Units'!$AD$4:$AD$13)</x:f>
        <x:v>0.06434687782799964</x:v>
      </x:c>
      <x:c r="S13" s="51" t="str">
        <x:f>IF(Q13&gt;'V2_Parameters'!$B$15,"OVER",IF(Q13&lt;'V2_Parameters'!$B$14,"UNDER","OK"))&amp;" | "&amp;IF(P13&gt;1,"role-fit","base")</x:f>
        <x:v>OVER | base</x:v>
      </x:c>
    </x:row>
    <x:row r="14">
      <x:c r="A14" t="str">
        <x:v>Marauder</x:v>
      </x:c>
      <x:c r="B14" t="str">
        <x:v>Open Field — Armored</x:v>
      </x:c>
      <x:c r="C14" t="str">
        <x:f>VLOOKUP($A14,'V2_Units'!$A$4:$B$13,2,FALSE)</x:f>
        <x:v>Anti-Armor</x:v>
      </x:c>
      <x:c r="D14" s="16" t="n">
        <x:f>SUMIF('V2_Scenarios'!$A$4:$A$12,$B14,'V2_Scenarios'!$C$4:$C$12)</x:f>
        <x:v>0.85</x:v>
      </x:c>
      <x:c r="E14" s="16" t="n">
        <x:f>SUMIF('V2_Scenarios'!$A$4:$A$12,$B14,'V2_Scenarios'!$D$4:$D$12)</x:f>
        <x:v>0.15</x:v>
      </x:c>
      <x:c r="F14" s="16" t="n">
        <x:f>SUMIF('V2_Scenarios'!$A$4:$A$12,$B14,'V2_Scenarios'!$E$4:$E$12)</x:f>
        <x:v>0.45</x:v>
      </x:c>
      <x:c r="G14" s="16" t="n">
        <x:f>SUMIF('V2_Scenarios'!$A$4:$A$12,$B14,'V2_Scenarios'!$F$4:$F$12)</x:f>
        <x:v>0.2</x:v>
      </x:c>
      <x:c r="H14" s="16" t="n">
        <x:f>SUMIF('V2_Scenarios'!$A$4:$A$12,$B14,'V2_Scenarios'!$G$4:$G$12)</x:f>
        <x:v>0.6</x:v>
      </x:c>
      <x:c r="I14" s="16" t="n">
        <x:f>SUMIF('V2_Scenarios'!$A$4:$A$12,$B14,'V2_Scenarios'!$H$4:$H$12)</x:f>
        <x:v>0.35</x:v>
      </x:c>
      <x:c r="J14" s="16" t="n">
        <x:f>SUMIF('V2_Scenarios'!$A$4:$A$12,$B14,'V2_Scenarios'!$I$4:$I$12)</x:f>
        <x:v>0.35</x:v>
      </x:c>
      <x:c r="K14" s="16" t="n">
        <x:f>SUMIF('V2_Units'!$A$4:$A$13,$A14,'V2_Units'!$W$4:$W$13)</x:f>
        <x:v>125</x:v>
      </x:c>
      <x:c r="L14" s="16" t="n">
        <x:f>(SUMIF('V2_Units'!$A$4:$A$13,$A14,'V2_Units'!$K$4:$K$13)*(1-E14)+SUMIF('V2_Units'!$A$4:$A$13,$A14,'V2_Units'!$L$4:$L$13)*E14+SUMIF('V2_Units'!$A$4:$A$13,$A14,'V2_Units'!$O$4:$O$13)*D14)*(1-0.15*J14)</x:f>
        <x:v>16.3017375</x:v>
      </x:c>
      <x:c r="M14" s="16" t="n">
        <x:f>1-G14*SUMIF('V2_Units'!$A$4:$A$13,$A14,'V2_Units'!$Q$4:$Q$13)</x:f>
        <x:v>0.944</x:v>
      </x:c>
      <x:c r="N14" s="16" t="n">
        <x:f>1+(SUMIF('V2_Units'!$A$4:$A$13,$A14,'V2_Units'!$P$4:$P$13)-1)*F14*(1-H14)</x:f>
        <x:v>1</x:v>
      </x:c>
      <x:c r="O14" s="16" t="n">
        <x:f>1+SUMIF('V2_Units'!$A$4:$A$13,$A14,'V2_Units'!$R$4:$R$13)*SUMIF('V2_Units'!$A$4:$A$13,$A14,'V2_Units'!$S$4:$S$13)*(1-I14)</x:f>
        <x:v>1.0585</x:v>
      </x:c>
      <x:c r="P14" s="16" t="n">
        <x:f>IF(OR(AND($C14="Anti-Armor",D14&gt;=0.5),AND($C14="Premium Anti-Armor",D14&gt;=0.5),AND($C14="Ranged DPS",E14&gt;=0.5),AND($C14="Mobile General",J14&gt;=0.6),AND($C14="Siege / AOE",OR($B14="Tank Line",$B14="High-Ground Defense",$B14="Narrow Choke — Ranged")),AND($C14="Premium AOE",F14&gt;=0.7),AND($C14="Swarm",F14&gt;=0.7),AND($C14="Frontline",G14&gt;=0.7)),1.12,1.00)</x:f>
        <x:v>1.12</x:v>
      </x:c>
      <x:c r="Q14" s="54" t="n">
        <x:f>SUMIF('V2_Units'!$A$4:$A$13,$A14,'V2_Units'!$AD$4:$AD$13)*(L14/MAX(0.01,SUMIF('V2_Units'!$A$4:$A$13,$A14,'V2_Units'!$K$4:$K$13)))*M14*N14*O14*P14</x:f>
        <x:v>2.1790525180538243</x:v>
      </x:c>
      <x:c r="R14" s="54" t="n">
        <x:f>Q14-SUMIF('V2_Units'!$A$4:$A$13,$A14,'V2_Units'!$AD$4:$AD$13)</x:f>
        <x:v>1.0682525180538243</x:v>
      </x:c>
      <x:c r="S14" s="51" t="str">
        <x:f>IF(Q14&gt;'V2_Parameters'!$B$15,"OVER",IF(Q14&lt;'V2_Parameters'!$B$14,"UNDER","OK"))&amp;" | "&amp;IF(P14&gt;1,"role-fit","base")</x:f>
        <x:v>OVER | role-fit</x:v>
      </x:c>
    </x:row>
    <x:row r="15">
      <x:c r="A15" t="str">
        <x:v>Marauder</x:v>
      </x:c>
      <x:c r="B15" t="str">
        <x:v>Narrow Choke — Melee</x:v>
      </x:c>
      <x:c r="C15" t="str">
        <x:f>VLOOKUP($A15,'V2_Units'!$A$4:$B$13,2,FALSE)</x:f>
        <x:v>Anti-Armor</x:v>
      </x:c>
      <x:c r="D15" s="16" t="n">
        <x:f>SUMIF('V2_Scenarios'!$A$4:$A$12,$B15,'V2_Scenarios'!$C$4:$C$12)</x:f>
        <x:v>0.35</x:v>
      </x:c>
      <x:c r="E15" s="16" t="n">
        <x:f>SUMIF('V2_Scenarios'!$A$4:$A$12,$B15,'V2_Scenarios'!$D$4:$D$12)</x:f>
        <x:v>0.1</x:v>
      </x:c>
      <x:c r="F15" s="16" t="n">
        <x:f>SUMIF('V2_Scenarios'!$A$4:$A$12,$B15,'V2_Scenarios'!$E$4:$E$12)</x:f>
        <x:v>0.85</x:v>
      </x:c>
      <x:c r="G15" s="16" t="n">
        <x:f>SUMIF('V2_Scenarios'!$A$4:$A$12,$B15,'V2_Scenarios'!$F$4:$F$12)</x:f>
        <x:v>0.85</x:v>
      </x:c>
      <x:c r="H15" s="16" t="n">
        <x:f>SUMIF('V2_Scenarios'!$A$4:$A$12,$B15,'V2_Scenarios'!$G$4:$G$12)</x:f>
        <x:v>0.25</x:v>
      </x:c>
      <x:c r="I15" s="16" t="n">
        <x:f>SUMIF('V2_Scenarios'!$A$4:$A$12,$B15,'V2_Scenarios'!$H$4:$H$12)</x:f>
        <x:v>0.4</x:v>
      </x:c>
      <x:c r="J15" s="16" t="n">
        <x:f>SUMIF('V2_Scenarios'!$A$4:$A$12,$B15,'V2_Scenarios'!$I$4:$I$12)</x:f>
        <x:v>0.45</x:v>
      </x:c>
      <x:c r="K15" s="16" t="n">
        <x:f>SUMIF('V2_Units'!$A$4:$A$13,$A15,'V2_Units'!$W$4:$W$13)</x:f>
        <x:v>125</x:v>
      </x:c>
      <x:c r="L15" s="16" t="n">
        <x:f>(SUMIF('V2_Units'!$A$4:$A$13,$A15,'V2_Units'!$K$4:$K$13)*(1-E15)+SUMIF('V2_Units'!$A$4:$A$13,$A15,'V2_Units'!$L$4:$L$13)*E15+SUMIF('V2_Units'!$A$4:$A$13,$A15,'V2_Units'!$O$4:$O$13)*D15)*(1-0.15*J15)</x:f>
        <x:v>11.707537499999999</x:v>
      </x:c>
      <x:c r="M15" s="16" t="n">
        <x:f>1-G15*SUMIF('V2_Units'!$A$4:$A$13,$A15,'V2_Units'!$Q$4:$Q$13)</x:f>
        <x:v>0.762</x:v>
      </x:c>
      <x:c r="N15" s="16" t="n">
        <x:f>1+(SUMIF('V2_Units'!$A$4:$A$13,$A15,'V2_Units'!$P$4:$P$13)-1)*F15*(1-H15)</x:f>
        <x:v>1</x:v>
      </x:c>
      <x:c r="O15" s="16" t="n">
        <x:f>1+SUMIF('V2_Units'!$A$4:$A$13,$A15,'V2_Units'!$R$4:$R$13)*SUMIF('V2_Units'!$A$4:$A$13,$A15,'V2_Units'!$S$4:$S$13)*(1-I15)</x:f>
        <x:v>1.054</x:v>
      </x:c>
      <x:c r="P15" s="16" t="n">
        <x:f>IF(OR(AND($C15="Anti-Armor",D15&gt;=0.5),AND($C15="Premium Anti-Armor",D15&gt;=0.5),AND($C15="Ranged DPS",E15&gt;=0.5),AND($C15="Mobile General",J15&gt;=0.6),AND($C15="Siege / AOE",OR($B15="Tank Line",$B15="High-Ground Defense",$B15="Narrow Choke — Ranged")),AND($C15="Premium AOE",F15&gt;=0.7),AND($C15="Swarm",F15&gt;=0.7),AND($C15="Frontline",G15&gt;=0.7)),1.12,1.00)</x:f>
        <x:v>1</x:v>
      </x:c>
      <x:c r="Q15" s="54" t="n">
        <x:f>SUMIF('V2_Units'!$A$4:$A$13,$A15,'V2_Units'!$AD$4:$AD$13)*(L15/MAX(0.01,SUMIF('V2_Units'!$A$4:$A$13,$A15,'V2_Units'!$K$4:$K$13)))*M15*N15*O15*P15</x:f>
        <x:v>1.1230887120857997</x:v>
      </x:c>
      <x:c r="R15" s="54" t="n">
        <x:f>Q15-SUMIF('V2_Units'!$A$4:$A$13,$A15,'V2_Units'!$AD$4:$AD$13)</x:f>
        <x:v>0.012288712085799736</x:v>
      </x:c>
      <x:c r="S15" s="51" t="str">
        <x:f>IF(Q15&gt;'V2_Parameters'!$B$15,"OVER",IF(Q15&lt;'V2_Parameters'!$B$14,"UNDER","OK"))&amp;" | "&amp;IF(P15&gt;1,"role-fit","base")</x:f>
        <x:v>OVER | base</x:v>
      </x:c>
    </x:row>
    <x:row r="16">
      <x:c r="A16" t="str">
        <x:v>Marauder</x:v>
      </x:c>
      <x:c r="B16" t="str">
        <x:v>Narrow Choke — Ranged</x:v>
      </x:c>
      <x:c r="C16" t="str">
        <x:f>VLOOKUP($A16,'V2_Units'!$A$4:$B$13,2,FALSE)</x:f>
        <x:v>Anti-Armor</x:v>
      </x:c>
      <x:c r="D16" s="16" t="n">
        <x:f>SUMIF('V2_Scenarios'!$A$4:$A$12,$B16,'V2_Scenarios'!$C$4:$C$12)</x:f>
        <x:v>0.5</x:v>
      </x:c>
      <x:c r="E16" s="16" t="n">
        <x:f>SUMIF('V2_Scenarios'!$A$4:$A$12,$B16,'V2_Scenarios'!$D$4:$D$12)</x:f>
        <x:v>0.2</x:v>
      </x:c>
      <x:c r="F16" s="16" t="n">
        <x:f>SUMIF('V2_Scenarios'!$A$4:$A$12,$B16,'V2_Scenarios'!$E$4:$E$12)</x:f>
        <x:v>0.75</x:v>
      </x:c>
      <x:c r="G16" s="16" t="n">
        <x:f>SUMIF('V2_Scenarios'!$A$4:$A$12,$B16,'V2_Scenarios'!$F$4:$F$12)</x:f>
        <x:v>0.8</x:v>
      </x:c>
      <x:c r="H16" s="16" t="n">
        <x:f>SUMIF('V2_Scenarios'!$A$4:$A$12,$B16,'V2_Scenarios'!$G$4:$G$12)</x:f>
        <x:v>0.3</x:v>
      </x:c>
      <x:c r="I16" s="16" t="n">
        <x:f>SUMIF('V2_Scenarios'!$A$4:$A$12,$B16,'V2_Scenarios'!$H$4:$H$12)</x:f>
        <x:v>0.35</x:v>
      </x:c>
      <x:c r="J16" s="16" t="n">
        <x:f>SUMIF('V2_Scenarios'!$A$4:$A$12,$B16,'V2_Scenarios'!$I$4:$I$12)</x:f>
        <x:v>0.35</x:v>
      </x:c>
      <x:c r="K16" s="16" t="n">
        <x:f>SUMIF('V2_Units'!$A$4:$A$13,$A16,'V2_Units'!$W$4:$W$13)</x:f>
        <x:v>125</x:v>
      </x:c>
      <x:c r="L16" s="16" t="n">
        <x:f>(SUMIF('V2_Units'!$A$4:$A$13,$A16,'V2_Units'!$K$4:$K$13)*(1-E16)+SUMIF('V2_Units'!$A$4:$A$13,$A16,'V2_Units'!$L$4:$L$13)*E16+SUMIF('V2_Units'!$A$4:$A$13,$A16,'V2_Units'!$O$4:$O$13)*D16)*(1-0.15*J16)</x:f>
        <x:v>13.217625000000002</x:v>
      </x:c>
      <x:c r="M16" s="16" t="n">
        <x:f>1-G16*SUMIF('V2_Units'!$A$4:$A$13,$A16,'V2_Units'!$Q$4:$Q$13)</x:f>
        <x:v>0.776</x:v>
      </x:c>
      <x:c r="N16" s="16" t="n">
        <x:f>1+(SUMIF('V2_Units'!$A$4:$A$13,$A16,'V2_Units'!$P$4:$P$13)-1)*F16*(1-H16)</x:f>
        <x:v>1</x:v>
      </x:c>
      <x:c r="O16" s="16" t="n">
        <x:f>1+SUMIF('V2_Units'!$A$4:$A$13,$A16,'V2_Units'!$R$4:$R$13)*SUMIF('V2_Units'!$A$4:$A$13,$A16,'V2_Units'!$S$4:$S$13)*(1-I16)</x:f>
        <x:v>1.0585</x:v>
      </x:c>
      <x:c r="P16" s="16" t="n">
        <x:f>IF(OR(AND($C16="Anti-Armor",D16&gt;=0.5),AND($C16="Premium Anti-Armor",D16&gt;=0.5),AND($C16="Ranged DPS",E16&gt;=0.5),AND($C16="Mobile General",J16&gt;=0.6),AND($C16="Siege / AOE",OR($B16="Tank Line",$B16="High-Ground Defense",$B16="Narrow Choke — Ranged")),AND($C16="Premium AOE",F16&gt;=0.7),AND($C16="Swarm",F16&gt;=0.7),AND($C16="Frontline",G16&gt;=0.7)),1.12,1.00)</x:f>
        <x:v>1.12</x:v>
      </x:c>
      <x:c r="Q16" s="54" t="n">
        <x:f>SUMIF('V2_Units'!$A$4:$A$13,$A16,'V2_Units'!$AD$4:$AD$13)*(L16/MAX(0.01,SUMIF('V2_Units'!$A$4:$A$13,$A16,'V2_Units'!$K$4:$K$13)))*M16*N16*O16*P16</x:f>
        <x:v>1.4523689481302402</x:v>
      </x:c>
      <x:c r="R16" s="54" t="n">
        <x:f>Q16-SUMIF('V2_Units'!$A$4:$A$13,$A16,'V2_Units'!$AD$4:$AD$13)</x:f>
        <x:v>0.3415689481302402</x:v>
      </x:c>
      <x:c r="S16" s="51" t="str">
        <x:f>IF(Q16&gt;'V2_Parameters'!$B$15,"OVER",IF(Q16&lt;'V2_Parameters'!$B$14,"UNDER","OK"))&amp;" | "&amp;IF(P16&gt;1,"role-fit","base")</x:f>
        <x:v>OVER | role-fit</x:v>
      </x:c>
    </x:row>
    <x:row r="17">
      <x:c r="A17" t="str">
        <x:v>Marauder</x:v>
      </x:c>
      <x:c r="B17" t="str">
        <x:v>Tank Line</x:v>
      </x:c>
      <x:c r="C17" t="str">
        <x:f>VLOOKUP($A17,'V2_Units'!$A$4:$B$13,2,FALSE)</x:f>
        <x:v>Anti-Armor</x:v>
      </x:c>
      <x:c r="D17" s="16" t="n">
        <x:f>SUMIF('V2_Scenarios'!$A$4:$A$12,$B17,'V2_Scenarios'!$C$4:$C$12)</x:f>
        <x:v>0.65</x:v>
      </x:c>
      <x:c r="E17" s="16" t="n">
        <x:f>SUMIF('V2_Scenarios'!$A$4:$A$12,$B17,'V2_Scenarios'!$D$4:$D$12)</x:f>
        <x:v>0.15</x:v>
      </x:c>
      <x:c r="F17" s="16" t="n">
        <x:f>SUMIF('V2_Scenarios'!$A$4:$A$12,$B17,'V2_Scenarios'!$E$4:$E$12)</x:f>
        <x:v>0.9</x:v>
      </x:c>
      <x:c r="G17" s="16" t="n">
        <x:f>SUMIF('V2_Scenarios'!$A$4:$A$12,$B17,'V2_Scenarios'!$F$4:$F$12)</x:f>
        <x:v>0.75</x:v>
      </x:c>
      <x:c r="H17" s="16" t="n">
        <x:f>SUMIF('V2_Scenarios'!$A$4:$A$12,$B17,'V2_Scenarios'!$G$4:$G$12)</x:f>
        <x:v>0.35</x:v>
      </x:c>
      <x:c r="I17" s="16" t="n">
        <x:f>SUMIF('V2_Scenarios'!$A$4:$A$12,$B17,'V2_Scenarios'!$H$4:$H$12)</x:f>
        <x:v>0.3</x:v>
      </x:c>
      <x:c r="J17" s="16" t="n">
        <x:f>SUMIF('V2_Scenarios'!$A$4:$A$12,$B17,'V2_Scenarios'!$I$4:$I$12)</x:f>
        <x:v>0.6</x:v>
      </x:c>
      <x:c r="K17" s="16" t="n">
        <x:f>SUMIF('V2_Units'!$A$4:$A$13,$A17,'V2_Units'!$W$4:$W$13)</x:f>
        <x:v>125</x:v>
      </x:c>
      <x:c r="L17" s="16" t="n">
        <x:f>(SUMIF('V2_Units'!$A$4:$A$13,$A17,'V2_Units'!$K$4:$K$13)*(1-E17)+SUMIF('V2_Units'!$A$4:$A$13,$A17,'V2_Units'!$L$4:$L$13)*E17+SUMIF('V2_Units'!$A$4:$A$13,$A17,'V2_Units'!$O$4:$O$13)*D17)*(1-0.15*J17)</x:f>
        <x:v>13.963950000000002</x:v>
      </x:c>
      <x:c r="M17" s="16" t="n">
        <x:f>1-G17*SUMIF('V2_Units'!$A$4:$A$13,$A17,'V2_Units'!$Q$4:$Q$13)</x:f>
        <x:v>0.79</x:v>
      </x:c>
      <x:c r="N17" s="16" t="n">
        <x:f>1+(SUMIF('V2_Units'!$A$4:$A$13,$A17,'V2_Units'!$P$4:$P$13)-1)*F17*(1-H17)</x:f>
        <x:v>1</x:v>
      </x:c>
      <x:c r="O17" s="16" t="n">
        <x:f>1+SUMIF('V2_Units'!$A$4:$A$13,$A17,'V2_Units'!$R$4:$R$13)*SUMIF('V2_Units'!$A$4:$A$13,$A17,'V2_Units'!$S$4:$S$13)*(1-I17)</x:f>
        <x:v>1.063</x:v>
      </x:c>
      <x:c r="P17" s="16" t="n">
        <x:f>IF(OR(AND($C17="Anti-Armor",D17&gt;=0.5),AND($C17="Premium Anti-Armor",D17&gt;=0.5),AND($C17="Ranged DPS",E17&gt;=0.5),AND($C17="Mobile General",J17&gt;=0.6),AND($C17="Siege / AOE",OR($B17="Tank Line",$B17="High-Ground Defense",$B17="Narrow Choke — Ranged")),AND($C17="Premium AOE",F17&gt;=0.7),AND($C17="Swarm",F17&gt;=0.7),AND($C17="Frontline",G17&gt;=0.7)),1.12,1.00)</x:f>
        <x:v>1.12</x:v>
      </x:c>
      <x:c r="Q17" s="54" t="n">
        <x:f>SUMIF('V2_Units'!$A$4:$A$13,$A17,'V2_Units'!$AD$4:$AD$13)*(L17/MAX(0.01,SUMIF('V2_Units'!$A$4:$A$13,$A17,'V2_Units'!$K$4:$K$13)))*M17*N17*O17*P17</x:f>
        <x:v>1.5686988786268805</x:v>
      </x:c>
      <x:c r="R17" s="54" t="n">
        <x:f>Q17-SUMIF('V2_Units'!$A$4:$A$13,$A17,'V2_Units'!$AD$4:$AD$13)</x:f>
        <x:v>0.4578988786268805</x:v>
      </x:c>
      <x:c r="S17" s="51" t="str">
        <x:f>IF(Q17&gt;'V2_Parameters'!$B$15,"OVER",IF(Q17&lt;'V2_Parameters'!$B$14,"UNDER","OK"))&amp;" | "&amp;IF(P17&gt;1,"role-fit","base")</x:f>
        <x:v>OVER | role-fit</x:v>
      </x:c>
    </x:row>
    <x:row r="18">
      <x:c r="A18" t="str">
        <x:v>Marauder</x:v>
      </x:c>
      <x:c r="B18" t="str">
        <x:v>Massive Swarm</x:v>
      </x:c>
      <x:c r="C18" t="str">
        <x:f>VLOOKUP($A18,'V2_Units'!$A$4:$B$13,2,FALSE)</x:f>
        <x:v>Anti-Armor</x:v>
      </x:c>
      <x:c r="D18" s="16" t="n">
        <x:f>SUMIF('V2_Scenarios'!$A$4:$A$12,$B18,'V2_Scenarios'!$C$4:$C$12)</x:f>
        <x:v>0.2</x:v>
      </x:c>
      <x:c r="E18" s="16" t="n">
        <x:f>SUMIF('V2_Scenarios'!$A$4:$A$12,$B18,'V2_Scenarios'!$D$4:$D$12)</x:f>
        <x:v>0.1</x:v>
      </x:c>
      <x:c r="F18" s="16" t="n">
        <x:f>SUMIF('V2_Scenarios'!$A$4:$A$12,$B18,'V2_Scenarios'!$E$4:$E$12)</x:f>
        <x:v>0.95</x:v>
      </x:c>
      <x:c r="G18" s="16" t="n">
        <x:f>SUMIF('V2_Scenarios'!$A$4:$A$12,$B18,'V2_Scenarios'!$F$4:$F$12)</x:f>
        <x:v>0.35</x:v>
      </x:c>
      <x:c r="H18" s="16" t="n">
        <x:f>SUMIF('V2_Scenarios'!$A$4:$A$12,$B18,'V2_Scenarios'!$G$4:$G$12)</x:f>
        <x:v>0.2</x:v>
      </x:c>
      <x:c r="I18" s="16" t="n">
        <x:f>SUMIF('V2_Scenarios'!$A$4:$A$12,$B18,'V2_Scenarios'!$H$4:$H$12)</x:f>
        <x:v>0.3</x:v>
      </x:c>
      <x:c r="J18" s="16" t="n">
        <x:f>SUMIF('V2_Scenarios'!$A$4:$A$12,$B18,'V2_Scenarios'!$I$4:$I$12)</x:f>
        <x:v>0.4</x:v>
      </x:c>
      <x:c r="K18" s="16" t="n">
        <x:f>SUMIF('V2_Units'!$A$4:$A$13,$A18,'V2_Units'!$W$4:$W$13)</x:f>
        <x:v>125</x:v>
      </x:c>
      <x:c r="L18" s="16" t="n">
        <x:f>(SUMIF('V2_Units'!$A$4:$A$13,$A18,'V2_Units'!$K$4:$K$13)*(1-E18)+SUMIF('V2_Units'!$A$4:$A$13,$A18,'V2_Units'!$L$4:$L$13)*E18+SUMIF('V2_Units'!$A$4:$A$13,$A18,'V2_Units'!$O$4:$O$13)*D18)*(1-0.15*J18)</x:f>
        <x:v>10.4904</x:v>
      </x:c>
      <x:c r="M18" s="16" t="n">
        <x:f>1-G18*SUMIF('V2_Units'!$A$4:$A$13,$A18,'V2_Units'!$Q$4:$Q$13)</x:f>
        <x:v>0.902</x:v>
      </x:c>
      <x:c r="N18" s="16" t="n">
        <x:f>1+(SUMIF('V2_Units'!$A$4:$A$13,$A18,'V2_Units'!$P$4:$P$13)-1)*F18*(1-H18)</x:f>
        <x:v>1</x:v>
      </x:c>
      <x:c r="O18" s="16" t="n">
        <x:f>1+SUMIF('V2_Units'!$A$4:$A$13,$A18,'V2_Units'!$R$4:$R$13)*SUMIF('V2_Units'!$A$4:$A$13,$A18,'V2_Units'!$S$4:$S$13)*(1-I18)</x:f>
        <x:v>1.063</x:v>
      </x:c>
      <x:c r="P18" s="16" t="n">
        <x:f>IF(OR(AND($C18="Anti-Armor",D18&gt;=0.5),AND($C18="Premium Anti-Armor",D18&gt;=0.5),AND($C18="Ranged DPS",E18&gt;=0.5),AND($C18="Mobile General",J18&gt;=0.6),AND($C18="Siege / AOE",OR($B18="Tank Line",$B18="High-Ground Defense",$B18="Narrow Choke — Ranged")),AND($C18="Premium AOE",F18&gt;=0.7),AND($C18="Swarm",F18&gt;=0.7),AND($C18="Frontline",G18&gt;=0.7)),1.12,1.00)</x:f>
        <x:v>1</x:v>
      </x:c>
      <x:c r="Q18" s="54" t="n">
        <x:f>SUMIF('V2_Units'!$A$4:$A$13,$A18,'V2_Units'!$AD$4:$AD$13)*(L18/MAX(0.01,SUMIF('V2_Units'!$A$4:$A$13,$A18,'V2_Units'!$K$4:$K$13)))*M18*N18*O18*P18</x:f>
        <x:v>1.2013921026624</x:v>
      </x:c>
      <x:c r="R18" s="54" t="n">
        <x:f>Q18-SUMIF('V2_Units'!$A$4:$A$13,$A18,'V2_Units'!$AD$4:$AD$13)</x:f>
        <x:v>0.09059210266239992</x:v>
      </x:c>
      <x:c r="S18" s="51" t="str">
        <x:f>IF(Q18&gt;'V2_Parameters'!$B$15,"OVER",IF(Q18&lt;'V2_Parameters'!$B$14,"UNDER","OK"))&amp;" | "&amp;IF(P18&gt;1,"role-fit","base")</x:f>
        <x:v>OVER | base</x:v>
      </x:c>
    </x:row>
    <x:row r="19">
      <x:c r="A19" t="str">
        <x:v>Marauder</x:v>
      </x:c>
      <x:c r="B19" t="str">
        <x:v>High-Ground Defense</x:v>
      </x:c>
      <x:c r="C19" t="str">
        <x:f>VLOOKUP($A19,'V2_Units'!$A$4:$B$13,2,FALSE)</x:f>
        <x:v>Anti-Armor</x:v>
      </x:c>
      <x:c r="D19" s="16" t="n">
        <x:f>SUMIF('V2_Scenarios'!$A$4:$A$12,$B19,'V2_Scenarios'!$C$4:$C$12)</x:f>
        <x:v>0.55</x:v>
      </x:c>
      <x:c r="E19" s="16" t="n">
        <x:f>SUMIF('V2_Scenarios'!$A$4:$A$12,$B19,'V2_Scenarios'!$D$4:$D$12)</x:f>
        <x:v>0.15</x:v>
      </x:c>
      <x:c r="F19" s="16" t="n">
        <x:f>SUMIF('V2_Scenarios'!$A$4:$A$12,$B19,'V2_Scenarios'!$E$4:$E$12)</x:f>
        <x:v>0.7</x:v>
      </x:c>
      <x:c r="G19" s="16" t="n">
        <x:f>SUMIF('V2_Scenarios'!$A$4:$A$12,$B19,'V2_Scenarios'!$F$4:$F$12)</x:f>
        <x:v>0.55</x:v>
      </x:c>
      <x:c r="H19" s="16" t="n">
        <x:f>SUMIF('V2_Scenarios'!$A$4:$A$12,$B19,'V2_Scenarios'!$G$4:$G$12)</x:f>
        <x:v>0.5</x:v>
      </x:c>
      <x:c r="I19" s="16" t="n">
        <x:f>SUMIF('V2_Scenarios'!$A$4:$A$12,$B19,'V2_Scenarios'!$H$4:$H$12)</x:f>
        <x:v>0.3</x:v>
      </x:c>
      <x:c r="J19" s="16" t="n">
        <x:f>SUMIF('V2_Scenarios'!$A$4:$A$12,$B19,'V2_Scenarios'!$I$4:$I$12)</x:f>
        <x:v>0.55</x:v>
      </x:c>
      <x:c r="K19" s="16" t="n">
        <x:f>SUMIF('V2_Units'!$A$4:$A$13,$A19,'V2_Units'!$W$4:$W$13)</x:f>
        <x:v>125</x:v>
      </x:c>
      <x:c r="L19" s="16" t="n">
        <x:f>(SUMIF('V2_Units'!$A$4:$A$13,$A19,'V2_Units'!$K$4:$K$13)*(1-E19)+SUMIF('V2_Units'!$A$4:$A$13,$A19,'V2_Units'!$L$4:$L$13)*E19+SUMIF('V2_Units'!$A$4:$A$13,$A19,'V2_Units'!$O$4:$O$13)*D19)*(1-0.15*J19)</x:f>
        <x:v>13.225762500000002</x:v>
      </x:c>
      <x:c r="M19" s="16" t="n">
        <x:f>1-G19*SUMIF('V2_Units'!$A$4:$A$13,$A19,'V2_Units'!$Q$4:$Q$13)</x:f>
        <x:v>0.846</x:v>
      </x:c>
      <x:c r="N19" s="16" t="n">
        <x:f>1+(SUMIF('V2_Units'!$A$4:$A$13,$A19,'V2_Units'!$P$4:$P$13)-1)*F19*(1-H19)</x:f>
        <x:v>1</x:v>
      </x:c>
      <x:c r="O19" s="16" t="n">
        <x:f>1+SUMIF('V2_Units'!$A$4:$A$13,$A19,'V2_Units'!$R$4:$R$13)*SUMIF('V2_Units'!$A$4:$A$13,$A19,'V2_Units'!$S$4:$S$13)*(1-I19)</x:f>
        <x:v>1.063</x:v>
      </x:c>
      <x:c r="P19" s="16" t="n">
        <x:f>IF(OR(AND($C19="Anti-Armor",D19&gt;=0.5),AND($C19="Premium Anti-Armor",D19&gt;=0.5),AND($C19="Ranged DPS",E19&gt;=0.5),AND($C19="Mobile General",J19&gt;=0.6),AND($C19="Siege / AOE",OR($B19="Tank Line",$B19="High-Ground Defense",$B19="Narrow Choke — Ranged")),AND($C19="Premium AOE",F19&gt;=0.7),AND($C19="Swarm",F19&gt;=0.7),AND($C19="Frontline",G19&gt;=0.7)),1.12,1.00)</x:f>
        <x:v>1.12</x:v>
      </x:c>
      <x:c r="Q19" s="54" t="n">
        <x:f>SUMIF('V2_Units'!$A$4:$A$13,$A19,'V2_Units'!$AD$4:$AD$13)*(L19/MAX(0.01,SUMIF('V2_Units'!$A$4:$A$13,$A19,'V2_Units'!$K$4:$K$13)))*M19*N19*O19*P19</x:f>
        <x:v>1.591092001063152</x:v>
      </x:c>
      <x:c r="R19" s="54" t="n">
        <x:f>Q19-SUMIF('V2_Units'!$A$4:$A$13,$A19,'V2_Units'!$AD$4:$AD$13)</x:f>
        <x:v>0.48029200106315195</x:v>
      </x:c>
      <x:c r="S19" s="51" t="str">
        <x:f>IF(Q19&gt;'V2_Parameters'!$B$15,"OVER",IF(Q19&lt;'V2_Parameters'!$B$14,"UNDER","OK"))&amp;" | "&amp;IF(P19&gt;1,"role-fit","base")</x:f>
        <x:v>OVER | role-fit</x:v>
      </x:c>
    </x:row>
    <x:row r="20">
      <x:c r="A20" t="str">
        <x:v>Marauder</x:v>
      </x:c>
      <x:c r="B20" t="str">
        <x:v>Anti-Air Screen</x:v>
      </x:c>
      <x:c r="C20" t="str">
        <x:f>VLOOKUP($A20,'V2_Units'!$A$4:$B$13,2,FALSE)</x:f>
        <x:v>Anti-Armor</x:v>
      </x:c>
      <x:c r="D20" s="16" t="n">
        <x:f>SUMIF('V2_Scenarios'!$A$4:$A$12,$B20,'V2_Scenarios'!$C$4:$C$12)</x:f>
        <x:v>0.2</x:v>
      </x:c>
      <x:c r="E20" s="16" t="n">
        <x:f>SUMIF('V2_Scenarios'!$A$4:$A$12,$B20,'V2_Scenarios'!$D$4:$D$12)</x:f>
        <x:v>0.8</x:v>
      </x:c>
      <x:c r="F20" s="16" t="n">
        <x:f>SUMIF('V2_Scenarios'!$A$4:$A$12,$B20,'V2_Scenarios'!$E$4:$E$12)</x:f>
        <x:v>0.6</x:v>
      </x:c>
      <x:c r="G20" s="16" t="n">
        <x:f>SUMIF('V2_Scenarios'!$A$4:$A$12,$B20,'V2_Scenarios'!$F$4:$F$12)</x:f>
        <x:v>0.45</x:v>
      </x:c>
      <x:c r="H20" s="16" t="n">
        <x:f>SUMIF('V2_Scenarios'!$A$4:$A$12,$B20,'V2_Scenarios'!$G$4:$G$12)</x:f>
        <x:v>0.55</x:v>
      </x:c>
      <x:c r="I20" s="16" t="n">
        <x:f>SUMIF('V2_Scenarios'!$A$4:$A$12,$B20,'V2_Scenarios'!$H$4:$H$12)</x:f>
        <x:v>0.25</x:v>
      </x:c>
      <x:c r="J20" s="16" t="n">
        <x:f>SUMIF('V2_Scenarios'!$A$4:$A$12,$B20,'V2_Scenarios'!$I$4:$I$12)</x:f>
        <x:v>0.45</x:v>
      </x:c>
      <x:c r="K20" s="16" t="n">
        <x:f>SUMIF('V2_Units'!$A$4:$A$13,$A20,'V2_Units'!$W$4:$W$13)</x:f>
        <x:v>125</x:v>
      </x:c>
      <x:c r="L20" s="16" t="n">
        <x:f>(SUMIF('V2_Units'!$A$4:$A$13,$A20,'V2_Units'!$K$4:$K$13)*(1-E20)+SUMIF('V2_Units'!$A$4:$A$13,$A20,'V2_Units'!$L$4:$L$13)*E20+SUMIF('V2_Units'!$A$4:$A$13,$A20,'V2_Units'!$O$4:$O$13)*D20)*(1-0.15*J20)</x:f>
        <x:v>10.4067</x:v>
      </x:c>
      <x:c r="M20" s="16" t="n">
        <x:f>1-G20*SUMIF('V2_Units'!$A$4:$A$13,$A20,'V2_Units'!$Q$4:$Q$13)</x:f>
        <x:v>0.874</x:v>
      </x:c>
      <x:c r="N20" s="16" t="n">
        <x:f>1+(SUMIF('V2_Units'!$A$4:$A$13,$A20,'V2_Units'!$P$4:$P$13)-1)*F20*(1-H20)</x:f>
        <x:v>1</x:v>
      </x:c>
      <x:c r="O20" s="16" t="n">
        <x:f>1+SUMIF('V2_Units'!$A$4:$A$13,$A20,'V2_Units'!$R$4:$R$13)*SUMIF('V2_Units'!$A$4:$A$13,$A20,'V2_Units'!$S$4:$S$13)*(1-I20)</x:f>
        <x:v>1.0675</x:v>
      </x:c>
      <x:c r="P20" s="16" t="n">
        <x:f>IF(OR(AND($C20="Anti-Armor",D20&gt;=0.5),AND($C20="Premium Anti-Armor",D20&gt;=0.5),AND($C20="Ranged DPS",E20&gt;=0.5),AND($C20="Mobile General",J20&gt;=0.6),AND($C20="Siege / AOE",OR($B20="Tank Line",$B20="High-Ground Defense",$B20="Narrow Choke — Ranged")),AND($C20="Premium AOE",F20&gt;=0.7),AND($C20="Swarm",F20&gt;=0.7),AND($C20="Frontline",G20&gt;=0.7)),1.12,1.00)</x:f>
        <x:v>1</x:v>
      </x:c>
      <x:c r="Q20" s="54" t="n">
        <x:f>SUMIF('V2_Units'!$A$4:$A$13,$A20,'V2_Units'!$AD$4:$AD$13)*(L20/MAX(0.01,SUMIF('V2_Units'!$A$4:$A$13,$A20,'V2_Units'!$K$4:$K$13)))*M20*N20*O20*P20</x:f>
        <x:v>1.1596989766739998</x:v>
      </x:c>
      <x:c r="R20" s="54" t="n">
        <x:f>Q20-SUMIF('V2_Units'!$A$4:$A$13,$A20,'V2_Units'!$AD$4:$AD$13)</x:f>
        <x:v>0.04889897667399978</x:v>
      </x:c>
      <x:c r="S20" s="51" t="str">
        <x:f>IF(Q20&gt;'V2_Parameters'!$B$15,"OVER",IF(Q20&lt;'V2_Parameters'!$B$14,"UNDER","OK"))&amp;" | "&amp;IF(P20&gt;1,"role-fit","base")</x:f>
        <x:v>OVER | base</x:v>
      </x:c>
    </x:row>
    <x:row r="21">
      <x:c r="A21" t="str">
        <x:v>Marauder</x:v>
      </x:c>
      <x:c r="B21" t="str">
        <x:v>Kite Scenario</x:v>
      </x:c>
      <x:c r="C21" t="str">
        <x:f>VLOOKUP($A21,'V2_Units'!$A$4:$B$13,2,FALSE)</x:f>
        <x:v>Anti-Armor</x:v>
      </x:c>
      <x:c r="D21" s="16" t="n">
        <x:f>SUMIF('V2_Scenarios'!$A$4:$A$12,$B21,'V2_Scenarios'!$C$4:$C$12)</x:f>
        <x:v>0.25</x:v>
      </x:c>
      <x:c r="E21" s="16" t="n">
        <x:f>SUMIF('V2_Scenarios'!$A$4:$A$12,$B21,'V2_Scenarios'!$D$4:$D$12)</x:f>
        <x:v>0.2</x:v>
      </x:c>
      <x:c r="F21" s="16" t="n">
        <x:f>SUMIF('V2_Scenarios'!$A$4:$A$12,$B21,'V2_Scenarios'!$E$4:$E$12)</x:f>
        <x:v>0.55</x:v>
      </x:c>
      <x:c r="G21" s="16" t="n">
        <x:f>SUMIF('V2_Scenarios'!$A$4:$A$12,$B21,'V2_Scenarios'!$F$4:$F$12)</x:f>
        <x:v>0.3</x:v>
      </x:c>
      <x:c r="H21" s="16" t="n">
        <x:f>SUMIF('V2_Scenarios'!$A$4:$A$12,$B21,'V2_Scenarios'!$G$4:$G$12)</x:f>
        <x:v>0.65</x:v>
      </x:c>
      <x:c r="I21" s="16" t="n">
        <x:f>SUMIF('V2_Scenarios'!$A$4:$A$12,$B21,'V2_Scenarios'!$H$4:$H$12)</x:f>
        <x:v>0.45</x:v>
      </x:c>
      <x:c r="J21" s="16" t="n">
        <x:f>SUMIF('V2_Scenarios'!$A$4:$A$12,$B21,'V2_Scenarios'!$I$4:$I$12)</x:f>
        <x:v>0.8</x:v>
      </x:c>
      <x:c r="K21" s="16" t="n">
        <x:f>SUMIF('V2_Units'!$A$4:$A$13,$A21,'V2_Units'!$W$4:$W$13)</x:f>
        <x:v>125</x:v>
      </x:c>
      <x:c r="L21" s="16" t="n">
        <x:f>(SUMIF('V2_Units'!$A$4:$A$13,$A21,'V2_Units'!$K$4:$K$13)*(1-E21)+SUMIF('V2_Units'!$A$4:$A$13,$A21,'V2_Units'!$L$4:$L$13)*E21+SUMIF('V2_Units'!$A$4:$A$13,$A21,'V2_Units'!$O$4:$O$13)*D21)*(1-0.15*J21)</x:f>
        <x:v>10.23</x:v>
      </x:c>
      <x:c r="M21" s="16" t="n">
        <x:f>1-G21*SUMIF('V2_Units'!$A$4:$A$13,$A21,'V2_Units'!$Q$4:$Q$13)</x:f>
        <x:v>0.916</x:v>
      </x:c>
      <x:c r="N21" s="16" t="n">
        <x:f>1+(SUMIF('V2_Units'!$A$4:$A$13,$A21,'V2_Units'!$P$4:$P$13)-1)*F21*(1-H21)</x:f>
        <x:v>1</x:v>
      </x:c>
      <x:c r="O21" s="16" t="n">
        <x:f>1+SUMIF('V2_Units'!$A$4:$A$13,$A21,'V2_Units'!$R$4:$R$13)*SUMIF('V2_Units'!$A$4:$A$13,$A21,'V2_Units'!$S$4:$S$13)*(1-I21)</x:f>
        <x:v>1.0495</x:v>
      </x:c>
      <x:c r="P21" s="16" t="n">
        <x:f>IF(OR(AND($C21="Anti-Armor",D21&gt;=0.5),AND($C21="Premium Anti-Armor",D21&gt;=0.5),AND($C21="Ranged DPS",E21&gt;=0.5),AND($C21="Mobile General",J21&gt;=0.6),AND($C21="Siege / AOE",OR($B21="Tank Line",$B21="High-Ground Defense",$B21="Narrow Choke — Ranged")),AND($C21="Premium AOE",F21&gt;=0.7),AND($C21="Swarm",F21&gt;=0.7),AND($C21="Frontline",G21&gt;=0.7)),1.12,1.00)</x:f>
        <x:v>1</x:v>
      </x:c>
      <x:c r="Q21" s="54" t="n">
        <x:f>SUMIF('V2_Units'!$A$4:$A$13,$A21,'V2_Units'!$AD$4:$AD$13)*(L21/MAX(0.01,SUMIF('V2_Units'!$A$4:$A$13,$A21,'V2_Units'!$K$4:$K$13)))*M21*N21*O21*P21</x:f>
        <x:v>1.17464456296</x:v>
      </x:c>
      <x:c r="R21" s="54" t="n">
        <x:f>Q21-SUMIF('V2_Units'!$A$4:$A$13,$A21,'V2_Units'!$AD$4:$AD$13)</x:f>
        <x:v>0.06384456295999996</x:v>
      </x:c>
      <x:c r="S21" s="51" t="str">
        <x:f>IF(Q21&gt;'V2_Parameters'!$B$15,"OVER",IF(Q21&lt;'V2_Parameters'!$B$14,"UNDER","OK"))&amp;" | "&amp;IF(P21&gt;1,"role-fit","base")</x:f>
        <x:v>OVER | base</x:v>
      </x:c>
    </x:row>
    <x:row r="22">
      <x:c r="A22" t="str">
        <x:v>Zealot</x:v>
      </x:c>
      <x:c r="B22" t="str">
        <x:v>Open Field — Light Mass</x:v>
      </x:c>
      <x:c r="C22" t="str">
        <x:f>VLOOKUP($A22,'V2_Units'!$A$4:$B$13,2,FALSE)</x:f>
        <x:v>Frontline</x:v>
      </x:c>
      <x:c r="D22" s="16" t="n">
        <x:f>SUMIF('V2_Scenarios'!$A$4:$A$12,$B22,'V2_Scenarios'!$C$4:$C$12)</x:f>
        <x:v>0.1</x:v>
      </x:c>
      <x:c r="E22" s="16" t="n">
        <x:f>SUMIF('V2_Scenarios'!$A$4:$A$12,$B22,'V2_Scenarios'!$D$4:$D$12)</x:f>
        <x:v>0.2</x:v>
      </x:c>
      <x:c r="F22" s="16" t="n">
        <x:f>SUMIF('V2_Scenarios'!$A$4:$A$12,$B22,'V2_Scenarios'!$E$4:$E$12)</x:f>
        <x:v>0.45</x:v>
      </x:c>
      <x:c r="G22" s="16" t="n">
        <x:f>SUMIF('V2_Scenarios'!$A$4:$A$12,$B22,'V2_Scenarios'!$F$4:$F$12)</x:f>
        <x:v>0.2</x:v>
      </x:c>
      <x:c r="H22" s="16" t="n">
        <x:f>SUMIF('V2_Scenarios'!$A$4:$A$12,$B22,'V2_Scenarios'!$G$4:$G$12)</x:f>
        <x:v>0.6</x:v>
      </x:c>
      <x:c r="I22" s="16" t="n">
        <x:f>SUMIF('V2_Scenarios'!$A$4:$A$12,$B22,'V2_Scenarios'!$H$4:$H$12)</x:f>
        <x:v>0.35</x:v>
      </x:c>
      <x:c r="J22" s="16" t="n">
        <x:f>SUMIF('V2_Scenarios'!$A$4:$A$12,$B22,'V2_Scenarios'!$I$4:$I$12)</x:f>
        <x:v>0.25</x:v>
      </x:c>
      <x:c r="K22" s="16" t="n">
        <x:f>SUMIF('V2_Units'!$A$4:$A$13,$A22,'V2_Units'!$W$4:$W$13)</x:f>
        <x:v>150</x:v>
      </x:c>
      <x:c r="L22" s="16" t="n">
        <x:f>(SUMIF('V2_Units'!$A$4:$A$13,$A22,'V2_Units'!$K$4:$K$13)*(1-E22)+SUMIF('V2_Units'!$A$4:$A$13,$A22,'V2_Units'!$L$4:$L$13)*E22+SUMIF('V2_Units'!$A$4:$A$13,$A22,'V2_Units'!$O$4:$O$13)*D22)*(1-0.15*J22)</x:f>
        <x:v>14.322000000000003</x:v>
      </x:c>
      <x:c r="M22" s="16" t="n">
        <x:f>1-G22*SUMIF('V2_Units'!$A$4:$A$13,$A22,'V2_Units'!$Q$4:$Q$13)</x:f>
        <x:v>0.9319999999999999</x:v>
      </x:c>
      <x:c r="N22" s="16" t="n">
        <x:f>1+(SUMIF('V2_Units'!$A$4:$A$13,$A22,'V2_Units'!$P$4:$P$13)-1)*F22*(1-H22)</x:f>
        <x:v>1</x:v>
      </x:c>
      <x:c r="O22" s="16" t="n">
        <x:f>1+SUMIF('V2_Units'!$A$4:$A$13,$A22,'V2_Units'!$R$4:$R$13)*SUMIF('V2_Units'!$A$4:$A$13,$A22,'V2_Units'!$S$4:$S$13)*(1-I22)</x:f>
        <x:v>1.0546</x:v>
      </x:c>
      <x:c r="P22" s="16" t="n">
        <x:f>IF(OR(AND($C22="Anti-Armor",D22&gt;=0.5),AND($C22="Premium Anti-Armor",D22&gt;=0.5),AND($C22="Ranged DPS",E22&gt;=0.5),AND($C22="Mobile General",J22&gt;=0.6),AND($C22="Siege / AOE",OR($B22="Tank Line",$B22="High-Ground Defense",$B22="Narrow Choke — Ranged")),AND($C22="Premium AOE",F22&gt;=0.7),AND($C22="Swarm",F22&gt;=0.7),AND($C22="Frontline",G22&gt;=0.7)),1.12,1.00)</x:f>
        <x:v>1</x:v>
      </x:c>
      <x:c r="Q22" s="54" t="n">
        <x:f>SUMIF('V2_Units'!$A$4:$A$13,$A22,'V2_Units'!$AD$4:$AD$13)*(L22/MAX(0.01,SUMIF('V2_Units'!$A$4:$A$13,$A22,'V2_Units'!$K$4:$K$13)))*M22*N22*O22*P22</x:f>
        <x:v>0.7649287198722401</x:v>
      </x:c>
      <x:c r="R22" s="54" t="n">
        <x:f>Q22-SUMIF('V2_Units'!$A$4:$A$13,$A22,'V2_Units'!$AD$4:$AD$13)</x:f>
        <x:v>-0.2457812801277599</x:v>
      </x:c>
      <x:c r="S22" s="51" t="str">
        <x:f>IF(Q22&gt;'V2_Parameters'!$B$15,"OVER",IF(Q22&lt;'V2_Parameters'!$B$14,"UNDER","OK"))&amp;" | "&amp;IF(P22&gt;1,"role-fit","base")</x:f>
        <x:v>UNDER | base</x:v>
      </x:c>
    </x:row>
    <x:row r="23">
      <x:c r="A23" t="str">
        <x:v>Zealot</x:v>
      </x:c>
      <x:c r="B23" t="str">
        <x:v>Open Field — Armored</x:v>
      </x:c>
      <x:c r="C23" t="str">
        <x:f>VLOOKUP($A23,'V2_Units'!$A$4:$B$13,2,FALSE)</x:f>
        <x:v>Frontline</x:v>
      </x:c>
      <x:c r="D23" s="16" t="n">
        <x:f>SUMIF('V2_Scenarios'!$A$4:$A$12,$B23,'V2_Scenarios'!$C$4:$C$12)</x:f>
        <x:v>0.85</x:v>
      </x:c>
      <x:c r="E23" s="16" t="n">
        <x:f>SUMIF('V2_Scenarios'!$A$4:$A$12,$B23,'V2_Scenarios'!$D$4:$D$12)</x:f>
        <x:v>0.15</x:v>
      </x:c>
      <x:c r="F23" s="16" t="n">
        <x:f>SUMIF('V2_Scenarios'!$A$4:$A$12,$B23,'V2_Scenarios'!$E$4:$E$12)</x:f>
        <x:v>0.45</x:v>
      </x:c>
      <x:c r="G23" s="16" t="n">
        <x:f>SUMIF('V2_Scenarios'!$A$4:$A$12,$B23,'V2_Scenarios'!$F$4:$F$12)</x:f>
        <x:v>0.2</x:v>
      </x:c>
      <x:c r="H23" s="16" t="n">
        <x:f>SUMIF('V2_Scenarios'!$A$4:$A$12,$B23,'V2_Scenarios'!$G$4:$G$12)</x:f>
        <x:v>0.6</x:v>
      </x:c>
      <x:c r="I23" s="16" t="n">
        <x:f>SUMIF('V2_Scenarios'!$A$4:$A$12,$B23,'V2_Scenarios'!$H$4:$H$12)</x:f>
        <x:v>0.35</x:v>
      </x:c>
      <x:c r="J23" s="16" t="n">
        <x:f>SUMIF('V2_Scenarios'!$A$4:$A$12,$B23,'V2_Scenarios'!$I$4:$I$12)</x:f>
        <x:v>0.35</x:v>
      </x:c>
      <x:c r="K23" s="16" t="n">
        <x:f>SUMIF('V2_Units'!$A$4:$A$13,$A23,'V2_Units'!$W$4:$W$13)</x:f>
        <x:v>150</x:v>
      </x:c>
      <x:c r="L23" s="16" t="n">
        <x:f>(SUMIF('V2_Units'!$A$4:$A$13,$A23,'V2_Units'!$K$4:$K$13)*(1-E23)+SUMIF('V2_Units'!$A$4:$A$13,$A23,'V2_Units'!$L$4:$L$13)*E23+SUMIF('V2_Units'!$A$4:$A$13,$A23,'V2_Units'!$O$4:$O$13)*D23)*(1-0.15*J23)</x:f>
        <x:v>14.979975000000001</x:v>
      </x:c>
      <x:c r="M23" s="16" t="n">
        <x:f>1-G23*SUMIF('V2_Units'!$A$4:$A$13,$A23,'V2_Units'!$Q$4:$Q$13)</x:f>
        <x:v>0.9319999999999999</x:v>
      </x:c>
      <x:c r="N23" s="16" t="n">
        <x:f>1+(SUMIF('V2_Units'!$A$4:$A$13,$A23,'V2_Units'!$P$4:$P$13)-1)*F23*(1-H23)</x:f>
        <x:v>1</x:v>
      </x:c>
      <x:c r="O23" s="16" t="n">
        <x:f>1+SUMIF('V2_Units'!$A$4:$A$13,$A23,'V2_Units'!$R$4:$R$13)*SUMIF('V2_Units'!$A$4:$A$13,$A23,'V2_Units'!$S$4:$S$13)*(1-I23)</x:f>
        <x:v>1.0546</x:v>
      </x:c>
      <x:c r="P23" s="16" t="n">
        <x:f>IF(OR(AND($C23="Anti-Armor",D23&gt;=0.5),AND($C23="Premium Anti-Armor",D23&gt;=0.5),AND($C23="Ranged DPS",E23&gt;=0.5),AND($C23="Mobile General",J23&gt;=0.6),AND($C23="Siege / AOE",OR($B23="Tank Line",$B23="High-Ground Defense",$B23="Narrow Choke — Ranged")),AND($C23="Premium AOE",F23&gt;=0.7),AND($C23="Swarm",F23&gt;=0.7),AND($C23="Frontline",G23&gt;=0.7)),1.12,1.00)</x:f>
        <x:v>1</x:v>
      </x:c>
      <x:c r="Q23" s="54" t="n">
        <x:f>SUMIF('V2_Units'!$A$4:$A$13,$A23,'V2_Units'!$AD$4:$AD$13)*(L23/MAX(0.01,SUMIF('V2_Units'!$A$4:$A$13,$A23,'V2_Units'!$K$4:$K$13)))*M23*N23*O23*P23</x:f>
        <x:v>0.800070737359877</x:v>
      </x:c>
      <x:c r="R23" s="54" t="n">
        <x:f>Q23-SUMIF('V2_Units'!$A$4:$A$13,$A23,'V2_Units'!$AD$4:$AD$13)</x:f>
        <x:v>-0.210639262640123</x:v>
      </x:c>
      <x:c r="S23" s="51" t="str">
        <x:f>IF(Q23&gt;'V2_Parameters'!$B$15,"OVER",IF(Q23&lt;'V2_Parameters'!$B$14,"UNDER","OK"))&amp;" | "&amp;IF(P23&gt;1,"role-fit","base")</x:f>
        <x:v>UNDER | base</x:v>
      </x:c>
    </x:row>
    <x:row r="24">
      <x:c r="A24" t="str">
        <x:v>Zealot</x:v>
      </x:c>
      <x:c r="B24" t="str">
        <x:v>Narrow Choke — Melee</x:v>
      </x:c>
      <x:c r="C24" t="str">
        <x:f>VLOOKUP($A24,'V2_Units'!$A$4:$B$13,2,FALSE)</x:f>
        <x:v>Frontline</x:v>
      </x:c>
      <x:c r="D24" s="16" t="n">
        <x:f>SUMIF('V2_Scenarios'!$A$4:$A$12,$B24,'V2_Scenarios'!$C$4:$C$12)</x:f>
        <x:v>0.35</x:v>
      </x:c>
      <x:c r="E24" s="16" t="n">
        <x:f>SUMIF('V2_Scenarios'!$A$4:$A$12,$B24,'V2_Scenarios'!$D$4:$D$12)</x:f>
        <x:v>0.1</x:v>
      </x:c>
      <x:c r="F24" s="16" t="n">
        <x:f>SUMIF('V2_Scenarios'!$A$4:$A$12,$B24,'V2_Scenarios'!$E$4:$E$12)</x:f>
        <x:v>0.85</x:v>
      </x:c>
      <x:c r="G24" s="16" t="n">
        <x:f>SUMIF('V2_Scenarios'!$A$4:$A$12,$B24,'V2_Scenarios'!$F$4:$F$12)</x:f>
        <x:v>0.85</x:v>
      </x:c>
      <x:c r="H24" s="16" t="n">
        <x:f>SUMIF('V2_Scenarios'!$A$4:$A$12,$B24,'V2_Scenarios'!$G$4:$G$12)</x:f>
        <x:v>0.25</x:v>
      </x:c>
      <x:c r="I24" s="16" t="n">
        <x:f>SUMIF('V2_Scenarios'!$A$4:$A$12,$B24,'V2_Scenarios'!$H$4:$H$12)</x:f>
        <x:v>0.4</x:v>
      </x:c>
      <x:c r="J24" s="16" t="n">
        <x:f>SUMIF('V2_Scenarios'!$A$4:$A$12,$B24,'V2_Scenarios'!$I$4:$I$12)</x:f>
        <x:v>0.45</x:v>
      </x:c>
      <x:c r="K24" s="16" t="n">
        <x:f>SUMIF('V2_Units'!$A$4:$A$13,$A24,'V2_Units'!$W$4:$W$13)</x:f>
        <x:v>150</x:v>
      </x:c>
      <x:c r="L24" s="16" t="n">
        <x:f>(SUMIF('V2_Units'!$A$4:$A$13,$A24,'V2_Units'!$K$4:$K$13)*(1-E24)+SUMIF('V2_Units'!$A$4:$A$13,$A24,'V2_Units'!$L$4:$L$13)*E24+SUMIF('V2_Units'!$A$4:$A$13,$A24,'V2_Units'!$O$4:$O$13)*D24)*(1-0.15*J24)</x:f>
        <x:v>15.610050000000001</x:v>
      </x:c>
      <x:c r="M24" s="16" t="n">
        <x:f>1-G24*SUMIF('V2_Units'!$A$4:$A$13,$A24,'V2_Units'!$Q$4:$Q$13)</x:f>
        <x:v>0.711</x:v>
      </x:c>
      <x:c r="N24" s="16" t="n">
        <x:f>1+(SUMIF('V2_Units'!$A$4:$A$13,$A24,'V2_Units'!$P$4:$P$13)-1)*F24*(1-H24)</x:f>
        <x:v>1</x:v>
      </x:c>
      <x:c r="O24" s="16" t="n">
        <x:f>1+SUMIF('V2_Units'!$A$4:$A$13,$A24,'V2_Units'!$R$4:$R$13)*SUMIF('V2_Units'!$A$4:$A$13,$A24,'V2_Units'!$S$4:$S$13)*(1-I24)</x:f>
        <x:v>1.0504</x:v>
      </x:c>
      <x:c r="P24" s="16" t="n">
        <x:f>IF(OR(AND($C24="Anti-Armor",D24&gt;=0.5),AND($C24="Premium Anti-Armor",D24&gt;=0.5),AND($C24="Ranged DPS",E24&gt;=0.5),AND($C24="Mobile General",J24&gt;=0.6),AND($C24="Siege / AOE",OR($B24="Tank Line",$B24="High-Ground Defense",$B24="Narrow Choke — Ranged")),AND($C24="Premium AOE",F24&gt;=0.7),AND($C24="Swarm",F24&gt;=0.7),AND($C24="Frontline",G24&gt;=0.7)),1.12,1.00)</x:f>
        <x:v>1.12</x:v>
      </x:c>
      <x:c r="Q24" s="54" t="n">
        <x:f>SUMIF('V2_Units'!$A$4:$A$13,$A24,'V2_Units'!$AD$4:$AD$13)*(L24/MAX(0.01,SUMIF('V2_Units'!$A$4:$A$13,$A24,'V2_Units'!$K$4:$K$13)))*M24*N24*O24*P24</x:f>
        <x:v>0.709512823318703</x:v>
      </x:c>
      <x:c r="R24" s="54" t="n">
        <x:f>Q24-SUMIF('V2_Units'!$A$4:$A$13,$A24,'V2_Units'!$AD$4:$AD$13)</x:f>
        <x:v>-0.301197176681297</x:v>
      </x:c>
      <x:c r="S24" s="51" t="str">
        <x:f>IF(Q24&gt;'V2_Parameters'!$B$15,"OVER",IF(Q24&lt;'V2_Parameters'!$B$14,"UNDER","OK"))&amp;" | "&amp;IF(P24&gt;1,"role-fit","base")</x:f>
        <x:v>UNDER | role-fit</x:v>
      </x:c>
    </x:row>
    <x:row r="25">
      <x:c r="A25" t="str">
        <x:v>Zealot</x:v>
      </x:c>
      <x:c r="B25" t="str">
        <x:v>Narrow Choke — Ranged</x:v>
      </x:c>
      <x:c r="C25" t="str">
        <x:f>VLOOKUP($A25,'V2_Units'!$A$4:$B$13,2,FALSE)</x:f>
        <x:v>Frontline</x:v>
      </x:c>
      <x:c r="D25" s="16" t="n">
        <x:f>SUMIF('V2_Scenarios'!$A$4:$A$12,$B25,'V2_Scenarios'!$C$4:$C$12)</x:f>
        <x:v>0.5</x:v>
      </x:c>
      <x:c r="E25" s="16" t="n">
        <x:f>SUMIF('V2_Scenarios'!$A$4:$A$12,$B25,'V2_Scenarios'!$D$4:$D$12)</x:f>
        <x:v>0.2</x:v>
      </x:c>
      <x:c r="F25" s="16" t="n">
        <x:f>SUMIF('V2_Scenarios'!$A$4:$A$12,$B25,'V2_Scenarios'!$E$4:$E$12)</x:f>
        <x:v>0.75</x:v>
      </x:c>
      <x:c r="G25" s="16" t="n">
        <x:f>SUMIF('V2_Scenarios'!$A$4:$A$12,$B25,'V2_Scenarios'!$F$4:$F$12)</x:f>
        <x:v>0.8</x:v>
      </x:c>
      <x:c r="H25" s="16" t="n">
        <x:f>SUMIF('V2_Scenarios'!$A$4:$A$12,$B25,'V2_Scenarios'!$G$4:$G$12)</x:f>
        <x:v>0.3</x:v>
      </x:c>
      <x:c r="I25" s="16" t="n">
        <x:f>SUMIF('V2_Scenarios'!$A$4:$A$12,$B25,'V2_Scenarios'!$H$4:$H$12)</x:f>
        <x:v>0.35</x:v>
      </x:c>
      <x:c r="J25" s="16" t="n">
        <x:f>SUMIF('V2_Scenarios'!$A$4:$A$12,$B25,'V2_Scenarios'!$I$4:$I$12)</x:f>
        <x:v>0.35</x:v>
      </x:c>
      <x:c r="K25" s="16" t="n">
        <x:f>SUMIF('V2_Units'!$A$4:$A$13,$A25,'V2_Units'!$W$4:$W$13)</x:f>
        <x:v>150</x:v>
      </x:c>
      <x:c r="L25" s="16" t="n">
        <x:f>(SUMIF('V2_Units'!$A$4:$A$13,$A25,'V2_Units'!$K$4:$K$13)*(1-E25)+SUMIF('V2_Units'!$A$4:$A$13,$A25,'V2_Units'!$L$4:$L$13)*E25+SUMIF('V2_Units'!$A$4:$A$13,$A25,'V2_Units'!$O$4:$O$13)*D25)*(1-0.15*J25)</x:f>
        <x:v>14.098800000000002</x:v>
      </x:c>
      <x:c r="M25" s="16" t="n">
        <x:f>1-G25*SUMIF('V2_Units'!$A$4:$A$13,$A25,'V2_Units'!$Q$4:$Q$13)</x:f>
        <x:v>0.728</x:v>
      </x:c>
      <x:c r="N25" s="16" t="n">
        <x:f>1+(SUMIF('V2_Units'!$A$4:$A$13,$A25,'V2_Units'!$P$4:$P$13)-1)*F25*(1-H25)</x:f>
        <x:v>1</x:v>
      </x:c>
      <x:c r="O25" s="16" t="n">
        <x:f>1+SUMIF('V2_Units'!$A$4:$A$13,$A25,'V2_Units'!$R$4:$R$13)*SUMIF('V2_Units'!$A$4:$A$13,$A25,'V2_Units'!$S$4:$S$13)*(1-I25)</x:f>
        <x:v>1.0546</x:v>
      </x:c>
      <x:c r="P25" s="16" t="n">
        <x:f>IF(OR(AND($C25="Anti-Armor",D25&gt;=0.5),AND($C25="Premium Anti-Armor",D25&gt;=0.5),AND($C25="Ranged DPS",E25&gt;=0.5),AND($C25="Mobile General",J25&gt;=0.6),AND($C25="Siege / AOE",OR($B25="Tank Line",$B25="High-Ground Defense",$B25="Narrow Choke — Ranged")),AND($C25="Premium AOE",F25&gt;=0.7),AND($C25="Swarm",F25&gt;=0.7),AND($C25="Frontline",G25&gt;=0.7)),1.12,1.00)</x:f>
        <x:v>1.12</x:v>
      </x:c>
      <x:c r="Q25" s="54" t="n">
        <x:f>SUMIF('V2_Units'!$A$4:$A$13,$A25,'V2_Units'!$AD$4:$AD$13)*(L25/MAX(0.01,SUMIF('V2_Units'!$A$4:$A$13,$A25,'V2_Units'!$K$4:$K$13)))*M25*N25*O25*P25</x:f>
        <x:v>0.6587686709555662</x:v>
      </x:c>
      <x:c r="R25" s="54" t="n">
        <x:f>Q25-SUMIF('V2_Units'!$A$4:$A$13,$A25,'V2_Units'!$AD$4:$AD$13)</x:f>
        <x:v>-0.35194132904443376</x:v>
      </x:c>
      <x:c r="S25" s="51" t="str">
        <x:f>IF(Q25&gt;'V2_Parameters'!$B$15,"OVER",IF(Q25&lt;'V2_Parameters'!$B$14,"UNDER","OK"))&amp;" | "&amp;IF(P25&gt;1,"role-fit","base")</x:f>
        <x:v>UNDER | role-fit</x:v>
      </x:c>
    </x:row>
    <x:row r="26">
      <x:c r="A26" t="str">
        <x:v>Zealot</x:v>
      </x:c>
      <x:c r="B26" t="str">
        <x:v>Tank Line</x:v>
      </x:c>
      <x:c r="C26" t="str">
        <x:f>VLOOKUP($A26,'V2_Units'!$A$4:$B$13,2,FALSE)</x:f>
        <x:v>Frontline</x:v>
      </x:c>
      <x:c r="D26" s="16" t="n">
        <x:f>SUMIF('V2_Scenarios'!$A$4:$A$12,$B26,'V2_Scenarios'!$C$4:$C$12)</x:f>
        <x:v>0.65</x:v>
      </x:c>
      <x:c r="E26" s="16" t="n">
        <x:f>SUMIF('V2_Scenarios'!$A$4:$A$12,$B26,'V2_Scenarios'!$D$4:$D$12)</x:f>
        <x:v>0.15</x:v>
      </x:c>
      <x:c r="F26" s="16" t="n">
        <x:f>SUMIF('V2_Scenarios'!$A$4:$A$12,$B26,'V2_Scenarios'!$E$4:$E$12)</x:f>
        <x:v>0.9</x:v>
      </x:c>
      <x:c r="G26" s="16" t="n">
        <x:f>SUMIF('V2_Scenarios'!$A$4:$A$12,$B26,'V2_Scenarios'!$F$4:$F$12)</x:f>
        <x:v>0.75</x:v>
      </x:c>
      <x:c r="H26" s="16" t="n">
        <x:f>SUMIF('V2_Scenarios'!$A$4:$A$12,$B26,'V2_Scenarios'!$G$4:$G$12)</x:f>
        <x:v>0.35</x:v>
      </x:c>
      <x:c r="I26" s="16" t="n">
        <x:f>SUMIF('V2_Scenarios'!$A$4:$A$12,$B26,'V2_Scenarios'!$H$4:$H$12)</x:f>
        <x:v>0.3</x:v>
      </x:c>
      <x:c r="J26" s="16" t="n">
        <x:f>SUMIF('V2_Scenarios'!$A$4:$A$12,$B26,'V2_Scenarios'!$I$4:$I$12)</x:f>
        <x:v>0.6</x:v>
      </x:c>
      <x:c r="K26" s="16" t="n">
        <x:f>SUMIF('V2_Units'!$A$4:$A$13,$A26,'V2_Units'!$W$4:$W$13)</x:f>
        <x:v>150</x:v>
      </x:c>
      <x:c r="L26" s="16" t="n">
        <x:f>(SUMIF('V2_Units'!$A$4:$A$13,$A26,'V2_Units'!$K$4:$K$13)*(1-E26)+SUMIF('V2_Units'!$A$4:$A$13,$A26,'V2_Units'!$L$4:$L$13)*E26+SUMIF('V2_Units'!$A$4:$A$13,$A26,'V2_Units'!$O$4:$O$13)*D26)*(1-0.15*J26)</x:f>
        <x:v>14.3871</x:v>
      </x:c>
      <x:c r="M26" s="16" t="n">
        <x:f>1-G26*SUMIF('V2_Units'!$A$4:$A$13,$A26,'V2_Units'!$Q$4:$Q$13)</x:f>
        <x:v>0.745</x:v>
      </x:c>
      <x:c r="N26" s="16" t="n">
        <x:f>1+(SUMIF('V2_Units'!$A$4:$A$13,$A26,'V2_Units'!$P$4:$P$13)-1)*F26*(1-H26)</x:f>
        <x:v>1</x:v>
      </x:c>
      <x:c r="O26" s="16" t="n">
        <x:f>1+SUMIF('V2_Units'!$A$4:$A$13,$A26,'V2_Units'!$R$4:$R$13)*SUMIF('V2_Units'!$A$4:$A$13,$A26,'V2_Units'!$S$4:$S$13)*(1-I26)</x:f>
        <x:v>1.0588</x:v>
      </x:c>
      <x:c r="P26" s="16" t="n">
        <x:f>IF(OR(AND($C26="Anti-Armor",D26&gt;=0.5),AND($C26="Premium Anti-Armor",D26&gt;=0.5),AND($C26="Ranged DPS",E26&gt;=0.5),AND($C26="Mobile General",J26&gt;=0.6),AND($C26="Siege / AOE",OR($B26="Tank Line",$B26="High-Ground Defense",$B26="Narrow Choke — Ranged")),AND($C26="Premium AOE",F26&gt;=0.7),AND($C26="Swarm",F26&gt;=0.7),AND($C26="Frontline",G26&gt;=0.7)),1.12,1.00)</x:f>
        <x:v>1.12</x:v>
      </x:c>
      <x:c r="Q26" s="54" t="n">
        <x:f>SUMIF('V2_Units'!$A$4:$A$13,$A26,'V2_Units'!$AD$4:$AD$13)*(L26/MAX(0.01,SUMIF('V2_Units'!$A$4:$A$13,$A26,'V2_Units'!$K$4:$K$13)))*M26*N26*O26*P26</x:f>
        <x:v>0.6906771825330832</x:v>
      </x:c>
      <x:c r="R26" s="54" t="n">
        <x:f>Q26-SUMIF('V2_Units'!$A$4:$A$13,$A26,'V2_Units'!$AD$4:$AD$13)</x:f>
        <x:v>-0.3200328174669168</x:v>
      </x:c>
      <x:c r="S26" s="51" t="str">
        <x:f>IF(Q26&gt;'V2_Parameters'!$B$15,"OVER",IF(Q26&lt;'V2_Parameters'!$B$14,"UNDER","OK"))&amp;" | "&amp;IF(P26&gt;1,"role-fit","base")</x:f>
        <x:v>UNDER | role-fit</x:v>
      </x:c>
    </x:row>
    <x:row r="27">
      <x:c r="A27" t="str">
        <x:v>Zealot</x:v>
      </x:c>
      <x:c r="B27" t="str">
        <x:v>Massive Swarm</x:v>
      </x:c>
      <x:c r="C27" t="str">
        <x:f>VLOOKUP($A27,'V2_Units'!$A$4:$B$13,2,FALSE)</x:f>
        <x:v>Frontline</x:v>
      </x:c>
      <x:c r="D27" s="16" t="n">
        <x:f>SUMIF('V2_Scenarios'!$A$4:$A$12,$B27,'V2_Scenarios'!$C$4:$C$12)</x:f>
        <x:v>0.2</x:v>
      </x:c>
      <x:c r="E27" s="16" t="n">
        <x:f>SUMIF('V2_Scenarios'!$A$4:$A$12,$B27,'V2_Scenarios'!$D$4:$D$12)</x:f>
        <x:v>0.1</x:v>
      </x:c>
      <x:c r="F27" s="16" t="n">
        <x:f>SUMIF('V2_Scenarios'!$A$4:$A$12,$B27,'V2_Scenarios'!$E$4:$E$12)</x:f>
        <x:v>0.95</x:v>
      </x:c>
      <x:c r="G27" s="16" t="n">
        <x:f>SUMIF('V2_Scenarios'!$A$4:$A$12,$B27,'V2_Scenarios'!$F$4:$F$12)</x:f>
        <x:v>0.35</x:v>
      </x:c>
      <x:c r="H27" s="16" t="n">
        <x:f>SUMIF('V2_Scenarios'!$A$4:$A$12,$B27,'V2_Scenarios'!$G$4:$G$12)</x:f>
        <x:v>0.2</x:v>
      </x:c>
      <x:c r="I27" s="16" t="n">
        <x:f>SUMIF('V2_Scenarios'!$A$4:$A$12,$B27,'V2_Scenarios'!$H$4:$H$12)</x:f>
        <x:v>0.3</x:v>
      </x:c>
      <x:c r="J27" s="16" t="n">
        <x:f>SUMIF('V2_Scenarios'!$A$4:$A$12,$B27,'V2_Scenarios'!$I$4:$I$12)</x:f>
        <x:v>0.4</x:v>
      </x:c>
      <x:c r="K27" s="16" t="n">
        <x:f>SUMIF('V2_Units'!$A$4:$A$13,$A27,'V2_Units'!$W$4:$W$13)</x:f>
        <x:v>150</x:v>
      </x:c>
      <x:c r="L27" s="16" t="n">
        <x:f>(SUMIF('V2_Units'!$A$4:$A$13,$A27,'V2_Units'!$K$4:$K$13)*(1-E27)+SUMIF('V2_Units'!$A$4:$A$13,$A27,'V2_Units'!$L$4:$L$13)*E27+SUMIF('V2_Units'!$A$4:$A$13,$A27,'V2_Units'!$O$4:$O$13)*D27)*(1-0.15*J27)</x:f>
        <x:v>15.735600000000002</x:v>
      </x:c>
      <x:c r="M27" s="16" t="n">
        <x:f>1-G27*SUMIF('V2_Units'!$A$4:$A$13,$A27,'V2_Units'!$Q$4:$Q$13)</x:f>
        <x:v>0.881</x:v>
      </x:c>
      <x:c r="N27" s="16" t="n">
        <x:f>1+(SUMIF('V2_Units'!$A$4:$A$13,$A27,'V2_Units'!$P$4:$P$13)-1)*F27*(1-H27)</x:f>
        <x:v>1</x:v>
      </x:c>
      <x:c r="O27" s="16" t="n">
        <x:f>1+SUMIF('V2_Units'!$A$4:$A$13,$A27,'V2_Units'!$R$4:$R$13)*SUMIF('V2_Units'!$A$4:$A$13,$A27,'V2_Units'!$S$4:$S$13)*(1-I27)</x:f>
        <x:v>1.0588</x:v>
      </x:c>
      <x:c r="P27" s="16" t="n">
        <x:f>IF(OR(AND($C27="Anti-Armor",D27&gt;=0.5),AND($C27="Premium Anti-Armor",D27&gt;=0.5),AND($C27="Ranged DPS",E27&gt;=0.5),AND($C27="Mobile General",J27&gt;=0.6),AND($C27="Siege / AOE",OR($B27="Tank Line",$B27="High-Ground Defense",$B27="Narrow Choke — Ranged")),AND($C27="Premium AOE",F27&gt;=0.7),AND($C27="Swarm",F27&gt;=0.7),AND($C27="Frontline",G27&gt;=0.7)),1.12,1.00)</x:f>
        <x:v>1</x:v>
      </x:c>
      <x:c r="Q27" s="54" t="n">
        <x:f>SUMIF('V2_Units'!$A$4:$A$13,$A27,'V2_Units'!$AD$4:$AD$13)*(L27/MAX(0.01,SUMIF('V2_Units'!$A$4:$A$13,$A27,'V2_Units'!$K$4:$K$13)))*M27*N27*O27*P27</x:f>
        <x:v>0.797602977817848</x:v>
      </x:c>
      <x:c r="R27" s="54" t="n">
        <x:f>Q27-SUMIF('V2_Units'!$A$4:$A$13,$A27,'V2_Units'!$AD$4:$AD$13)</x:f>
        <x:v>-0.21310702218215205</x:v>
      </x:c>
      <x:c r="S27" s="51" t="str">
        <x:f>IF(Q27&gt;'V2_Parameters'!$B$15,"OVER",IF(Q27&lt;'V2_Parameters'!$B$14,"UNDER","OK"))&amp;" | "&amp;IF(P27&gt;1,"role-fit","base")</x:f>
        <x:v>UNDER | base</x:v>
      </x:c>
    </x:row>
    <x:row r="28">
      <x:c r="A28" t="str">
        <x:v>Zealot</x:v>
      </x:c>
      <x:c r="B28" t="str">
        <x:v>High-Ground Defense</x:v>
      </x:c>
      <x:c r="C28" t="str">
        <x:f>VLOOKUP($A28,'V2_Units'!$A$4:$B$13,2,FALSE)</x:f>
        <x:v>Frontline</x:v>
      </x:c>
      <x:c r="D28" s="16" t="n">
        <x:f>SUMIF('V2_Scenarios'!$A$4:$A$12,$B28,'V2_Scenarios'!$C$4:$C$12)</x:f>
        <x:v>0.55</x:v>
      </x:c>
      <x:c r="E28" s="16" t="n">
        <x:f>SUMIF('V2_Scenarios'!$A$4:$A$12,$B28,'V2_Scenarios'!$D$4:$D$12)</x:f>
        <x:v>0.15</x:v>
      </x:c>
      <x:c r="F28" s="16" t="n">
        <x:f>SUMIF('V2_Scenarios'!$A$4:$A$12,$B28,'V2_Scenarios'!$E$4:$E$12)</x:f>
        <x:v>0.7</x:v>
      </x:c>
      <x:c r="G28" s="16" t="n">
        <x:f>SUMIF('V2_Scenarios'!$A$4:$A$12,$B28,'V2_Scenarios'!$F$4:$F$12)</x:f>
        <x:v>0.55</x:v>
      </x:c>
      <x:c r="H28" s="16" t="n">
        <x:f>SUMIF('V2_Scenarios'!$A$4:$A$12,$B28,'V2_Scenarios'!$G$4:$G$12)</x:f>
        <x:v>0.5</x:v>
      </x:c>
      <x:c r="I28" s="16" t="n">
        <x:f>SUMIF('V2_Scenarios'!$A$4:$A$12,$B28,'V2_Scenarios'!$H$4:$H$12)</x:f>
        <x:v>0.3</x:v>
      </x:c>
      <x:c r="J28" s="16" t="n">
        <x:f>SUMIF('V2_Scenarios'!$A$4:$A$12,$B28,'V2_Scenarios'!$I$4:$I$12)</x:f>
        <x:v>0.55</x:v>
      </x:c>
      <x:c r="K28" s="16" t="n">
        <x:f>SUMIF('V2_Units'!$A$4:$A$13,$A28,'V2_Units'!$W$4:$W$13)</x:f>
        <x:v>150</x:v>
      </x:c>
      <x:c r="L28" s="16" t="n">
        <x:f>(SUMIF('V2_Units'!$A$4:$A$13,$A28,'V2_Units'!$K$4:$K$13)*(1-E28)+SUMIF('V2_Units'!$A$4:$A$13,$A28,'V2_Units'!$L$4:$L$13)*E28+SUMIF('V2_Units'!$A$4:$A$13,$A28,'V2_Units'!$O$4:$O$13)*D28)*(1-0.15*J28)</x:f>
        <x:v>14.505675</x:v>
      </x:c>
      <x:c r="M28" s="16" t="n">
        <x:f>1-G28*SUMIF('V2_Units'!$A$4:$A$13,$A28,'V2_Units'!$Q$4:$Q$13)</x:f>
        <x:v>0.813</x:v>
      </x:c>
      <x:c r="N28" s="16" t="n">
        <x:f>1+(SUMIF('V2_Units'!$A$4:$A$13,$A28,'V2_Units'!$P$4:$P$13)-1)*F28*(1-H28)</x:f>
        <x:v>1</x:v>
      </x:c>
      <x:c r="O28" s="16" t="n">
        <x:f>1+SUMIF('V2_Units'!$A$4:$A$13,$A28,'V2_Units'!$R$4:$R$13)*SUMIF('V2_Units'!$A$4:$A$13,$A28,'V2_Units'!$S$4:$S$13)*(1-I28)</x:f>
        <x:v>1.0588</x:v>
      </x:c>
      <x:c r="P28" s="16" t="n">
        <x:f>IF(OR(AND($C28="Anti-Armor",D28&gt;=0.5),AND($C28="Premium Anti-Armor",D28&gt;=0.5),AND($C28="Ranged DPS",E28&gt;=0.5),AND($C28="Mobile General",J28&gt;=0.6),AND($C28="Siege / AOE",OR($B28="Tank Line",$B28="High-Ground Defense",$B28="Narrow Choke — Ranged")),AND($C28="Premium AOE",F28&gt;=0.7),AND($C28="Swarm",F28&gt;=0.7),AND($C28="Frontline",G28&gt;=0.7)),1.12,1.00)</x:f>
        <x:v>1</x:v>
      </x:c>
      <x:c r="Q28" s="54" t="n">
        <x:f>SUMIF('V2_Units'!$A$4:$A$13,$A28,'V2_Units'!$AD$4:$AD$13)*(L28/MAX(0.01,SUMIF('V2_Units'!$A$4:$A$13,$A28,'V2_Units'!$K$4:$K$13)))*M28*N28*O28*P28</x:f>
        <x:v>0.6785096668448294</x:v>
      </x:c>
      <x:c r="R28" s="54" t="n">
        <x:f>Q28-SUMIF('V2_Units'!$A$4:$A$13,$A28,'V2_Units'!$AD$4:$AD$13)</x:f>
        <x:v>-0.3322003331551706</x:v>
      </x:c>
      <x:c r="S28" s="51" t="str">
        <x:f>IF(Q28&gt;'V2_Parameters'!$B$15,"OVER",IF(Q28&lt;'V2_Parameters'!$B$14,"UNDER","OK"))&amp;" | "&amp;IF(P28&gt;1,"role-fit","base")</x:f>
        <x:v>UNDER | base</x:v>
      </x:c>
    </x:row>
    <x:row r="29">
      <x:c r="A29" t="str">
        <x:v>Zealot</x:v>
      </x:c>
      <x:c r="B29" t="str">
        <x:v>Anti-Air Screen</x:v>
      </x:c>
      <x:c r="C29" t="str">
        <x:f>VLOOKUP($A29,'V2_Units'!$A$4:$B$13,2,FALSE)</x:f>
        <x:v>Frontline</x:v>
      </x:c>
      <x:c r="D29" s="16" t="n">
        <x:f>SUMIF('V2_Scenarios'!$A$4:$A$12,$B29,'V2_Scenarios'!$C$4:$C$12)</x:f>
        <x:v>0.2</x:v>
      </x:c>
      <x:c r="E29" s="16" t="n">
        <x:f>SUMIF('V2_Scenarios'!$A$4:$A$12,$B29,'V2_Scenarios'!$D$4:$D$12)</x:f>
        <x:v>0.8</x:v>
      </x:c>
      <x:c r="F29" s="16" t="n">
        <x:f>SUMIF('V2_Scenarios'!$A$4:$A$12,$B29,'V2_Scenarios'!$E$4:$E$12)</x:f>
        <x:v>0.6</x:v>
      </x:c>
      <x:c r="G29" s="16" t="n">
        <x:f>SUMIF('V2_Scenarios'!$A$4:$A$12,$B29,'V2_Scenarios'!$F$4:$F$12)</x:f>
        <x:v>0.45</x:v>
      </x:c>
      <x:c r="H29" s="16" t="n">
        <x:f>SUMIF('V2_Scenarios'!$A$4:$A$12,$B29,'V2_Scenarios'!$G$4:$G$12)</x:f>
        <x:v>0.55</x:v>
      </x:c>
      <x:c r="I29" s="16" t="n">
        <x:f>SUMIF('V2_Scenarios'!$A$4:$A$12,$B29,'V2_Scenarios'!$H$4:$H$12)</x:f>
        <x:v>0.25</x:v>
      </x:c>
      <x:c r="J29" s="16" t="n">
        <x:f>SUMIF('V2_Scenarios'!$A$4:$A$12,$B29,'V2_Scenarios'!$I$4:$I$12)</x:f>
        <x:v>0.45</x:v>
      </x:c>
      <x:c r="K29" s="16" t="n">
        <x:f>SUMIF('V2_Units'!$A$4:$A$13,$A29,'V2_Units'!$W$4:$W$13)</x:f>
        <x:v>150</x:v>
      </x:c>
      <x:c r="L29" s="16" t="n">
        <x:f>(SUMIF('V2_Units'!$A$4:$A$13,$A29,'V2_Units'!$K$4:$K$13)*(1-E29)+SUMIF('V2_Units'!$A$4:$A$13,$A29,'V2_Units'!$L$4:$L$13)*E29+SUMIF('V2_Units'!$A$4:$A$13,$A29,'V2_Units'!$O$4:$O$13)*D29)*(1-0.15*J29)</x:f>
        <x:v>3.468899999999999</x:v>
      </x:c>
      <x:c r="M29" s="16" t="n">
        <x:f>1-G29*SUMIF('V2_Units'!$A$4:$A$13,$A29,'V2_Units'!$Q$4:$Q$13)</x:f>
        <x:v>0.847</x:v>
      </x:c>
      <x:c r="N29" s="16" t="n">
        <x:f>1+(SUMIF('V2_Units'!$A$4:$A$13,$A29,'V2_Units'!$P$4:$P$13)-1)*F29*(1-H29)</x:f>
        <x:v>1</x:v>
      </x:c>
      <x:c r="O29" s="16" t="n">
        <x:f>1+SUMIF('V2_Units'!$A$4:$A$13,$A29,'V2_Units'!$R$4:$R$13)*SUMIF('V2_Units'!$A$4:$A$13,$A29,'V2_Units'!$S$4:$S$13)*(1-I29)</x:f>
        <x:v>1.063</x:v>
      </x:c>
      <x:c r="P29" s="16" t="n">
        <x:f>IF(OR(AND($C29="Anti-Armor",D29&gt;=0.5),AND($C29="Premium Anti-Armor",D29&gt;=0.5),AND($C29="Ranged DPS",E29&gt;=0.5),AND($C29="Mobile General",J29&gt;=0.6),AND($C29="Siege / AOE",OR($B29="Tank Line",$B29="High-Ground Defense",$B29="Narrow Choke — Ranged")),AND($C29="Premium AOE",F29&gt;=0.7),AND($C29="Swarm",F29&gt;=0.7),AND($C29="Frontline",G29&gt;=0.7)),1.12,1.00)</x:f>
        <x:v>1</x:v>
      </x:c>
      <x:c r="Q29" s="54" t="n">
        <x:f>SUMIF('V2_Units'!$A$4:$A$13,$A29,'V2_Units'!$AD$4:$AD$13)*(L29/MAX(0.01,SUMIF('V2_Units'!$A$4:$A$13,$A29,'V2_Units'!$K$4:$K$13)))*M29*N29*O29*P29</x:f>
        <x:v>0.16971572106681496</x:v>
      </x:c>
      <x:c r="R29" s="54" t="n">
        <x:f>Q29-SUMIF('V2_Units'!$A$4:$A$13,$A29,'V2_Units'!$AD$4:$AD$13)</x:f>
        <x:v>-0.840994278933185</x:v>
      </x:c>
      <x:c r="S29" s="51" t="str">
        <x:f>IF(Q29&gt;'V2_Parameters'!$B$15,"OVER",IF(Q29&lt;'V2_Parameters'!$B$14,"UNDER","OK"))&amp;" | "&amp;IF(P29&gt;1,"role-fit","base")</x:f>
        <x:v>UNDER | base</x:v>
      </x:c>
    </x:row>
    <x:row r="30">
      <x:c r="A30" t="str">
        <x:v>Zealot</x:v>
      </x:c>
      <x:c r="B30" t="str">
        <x:v>Kite Scenario</x:v>
      </x:c>
      <x:c r="C30" t="str">
        <x:f>VLOOKUP($A30,'V2_Units'!$A$4:$B$13,2,FALSE)</x:f>
        <x:v>Frontline</x:v>
      </x:c>
      <x:c r="D30" s="16" t="n">
        <x:f>SUMIF('V2_Scenarios'!$A$4:$A$12,$B30,'V2_Scenarios'!$C$4:$C$12)</x:f>
        <x:v>0.25</x:v>
      </x:c>
      <x:c r="E30" s="16" t="n">
        <x:f>SUMIF('V2_Scenarios'!$A$4:$A$12,$B30,'V2_Scenarios'!$D$4:$D$12)</x:f>
        <x:v>0.2</x:v>
      </x:c>
      <x:c r="F30" s="16" t="n">
        <x:f>SUMIF('V2_Scenarios'!$A$4:$A$12,$B30,'V2_Scenarios'!$E$4:$E$12)</x:f>
        <x:v>0.55</x:v>
      </x:c>
      <x:c r="G30" s="16" t="n">
        <x:f>SUMIF('V2_Scenarios'!$A$4:$A$12,$B30,'V2_Scenarios'!$F$4:$F$12)</x:f>
        <x:v>0.3</x:v>
      </x:c>
      <x:c r="H30" s="16" t="n">
        <x:f>SUMIF('V2_Scenarios'!$A$4:$A$12,$B30,'V2_Scenarios'!$G$4:$G$12)</x:f>
        <x:v>0.65</x:v>
      </x:c>
      <x:c r="I30" s="16" t="n">
        <x:f>SUMIF('V2_Scenarios'!$A$4:$A$12,$B30,'V2_Scenarios'!$H$4:$H$12)</x:f>
        <x:v>0.45</x:v>
      </x:c>
      <x:c r="J30" s="16" t="n">
        <x:f>SUMIF('V2_Scenarios'!$A$4:$A$12,$B30,'V2_Scenarios'!$I$4:$I$12)</x:f>
        <x:v>0.8</x:v>
      </x:c>
      <x:c r="K30" s="16" t="n">
        <x:f>SUMIF('V2_Units'!$A$4:$A$13,$A30,'V2_Units'!$W$4:$W$13)</x:f>
        <x:v>150</x:v>
      </x:c>
      <x:c r="L30" s="16" t="n">
        <x:f>(SUMIF('V2_Units'!$A$4:$A$13,$A30,'V2_Units'!$K$4:$K$13)*(1-E30)+SUMIF('V2_Units'!$A$4:$A$13,$A30,'V2_Units'!$L$4:$L$13)*E30+SUMIF('V2_Units'!$A$4:$A$13,$A30,'V2_Units'!$O$4:$O$13)*D30)*(1-0.15*J30)</x:f>
        <x:v>13.094400000000002</x:v>
      </x:c>
      <x:c r="M30" s="16" t="n">
        <x:f>1-G30*SUMIF('V2_Units'!$A$4:$A$13,$A30,'V2_Units'!$Q$4:$Q$13)</x:f>
        <x:v>0.898</x:v>
      </x:c>
      <x:c r="N30" s="16" t="n">
        <x:f>1+(SUMIF('V2_Units'!$A$4:$A$13,$A30,'V2_Units'!$P$4:$P$13)-1)*F30*(1-H30)</x:f>
        <x:v>1</x:v>
      </x:c>
      <x:c r="O30" s="16" t="n">
        <x:f>1+SUMIF('V2_Units'!$A$4:$A$13,$A30,'V2_Units'!$R$4:$R$13)*SUMIF('V2_Units'!$A$4:$A$13,$A30,'V2_Units'!$S$4:$S$13)*(1-I30)</x:f>
        <x:v>1.0462</x:v>
      </x:c>
      <x:c r="P30" s="16" t="n">
        <x:f>IF(OR(AND($C30="Anti-Armor",D30&gt;=0.5),AND($C30="Premium Anti-Armor",D30&gt;=0.5),AND($C30="Ranged DPS",E30&gt;=0.5),AND($C30="Mobile General",J30&gt;=0.6),AND($C30="Siege / AOE",OR($B30="Tank Line",$B30="High-Ground Defense",$B30="Narrow Choke — Ranged")),AND($C30="Premium AOE",F30&gt;=0.7),AND($C30="Swarm",F30&gt;=0.7),AND($C30="Frontline",G30&gt;=0.7)),1.12,1.00)</x:f>
        <x:v>1</x:v>
      </x:c>
      <x:c r="Q30" s="54" t="n">
        <x:f>SUMIF('V2_Units'!$A$4:$A$13,$A30,'V2_Units'!$AD$4:$AD$13)*(L30/MAX(0.01,SUMIF('V2_Units'!$A$4:$A$13,$A30,'V2_Units'!$K$4:$K$13)))*M30*N30*O30*P30</x:f>
        <x:v>0.668482856585984</x:v>
      </x:c>
      <x:c r="R30" s="54" t="n">
        <x:f>Q30-SUMIF('V2_Units'!$A$4:$A$13,$A30,'V2_Units'!$AD$4:$AD$13)</x:f>
        <x:v>-0.34222714341401594</x:v>
      </x:c>
      <x:c r="S30" s="51" t="str">
        <x:f>IF(Q30&gt;'V2_Parameters'!$B$15,"OVER",IF(Q30&lt;'V2_Parameters'!$B$14,"UNDER","OK"))&amp;" | "&amp;IF(P30&gt;1,"role-fit","base")</x:f>
        <x:v>UNDER | base</x:v>
      </x:c>
    </x:row>
    <x:row r="31">
      <x:c r="A31" t="str">
        <x:v>Stalker</x:v>
      </x:c>
      <x:c r="B31" t="str">
        <x:v>Open Field — Light Mass</x:v>
      </x:c>
      <x:c r="C31" t="str">
        <x:f>VLOOKUP($A31,'V2_Units'!$A$4:$B$13,2,FALSE)</x:f>
        <x:v>Mobile General</x:v>
      </x:c>
      <x:c r="D31" s="16" t="n">
        <x:f>SUMIF('V2_Scenarios'!$A$4:$A$12,$B31,'V2_Scenarios'!$C$4:$C$12)</x:f>
        <x:v>0.1</x:v>
      </x:c>
      <x:c r="E31" s="16" t="n">
        <x:f>SUMIF('V2_Scenarios'!$A$4:$A$12,$B31,'V2_Scenarios'!$D$4:$D$12)</x:f>
        <x:v>0.2</x:v>
      </x:c>
      <x:c r="F31" s="16" t="n">
        <x:f>SUMIF('V2_Scenarios'!$A$4:$A$12,$B31,'V2_Scenarios'!$E$4:$E$12)</x:f>
        <x:v>0.45</x:v>
      </x:c>
      <x:c r="G31" s="16" t="n">
        <x:f>SUMIF('V2_Scenarios'!$A$4:$A$12,$B31,'V2_Scenarios'!$F$4:$F$12)</x:f>
        <x:v>0.2</x:v>
      </x:c>
      <x:c r="H31" s="16" t="n">
        <x:f>SUMIF('V2_Scenarios'!$A$4:$A$12,$B31,'V2_Scenarios'!$G$4:$G$12)</x:f>
        <x:v>0.6</x:v>
      </x:c>
      <x:c r="I31" s="16" t="n">
        <x:f>SUMIF('V2_Scenarios'!$A$4:$A$12,$B31,'V2_Scenarios'!$H$4:$H$12)</x:f>
        <x:v>0.35</x:v>
      </x:c>
      <x:c r="J31" s="16" t="n">
        <x:f>SUMIF('V2_Scenarios'!$A$4:$A$12,$B31,'V2_Scenarios'!$I$4:$I$12)</x:f>
        <x:v>0.25</x:v>
      </x:c>
      <x:c r="K31" s="16" t="n">
        <x:f>SUMIF('V2_Units'!$A$4:$A$13,$A31,'V2_Units'!$W$4:$W$13)</x:f>
        <x:v>160</x:v>
      </x:c>
      <x:c r="L31" s="16" t="n">
        <x:f>(SUMIF('V2_Units'!$A$4:$A$13,$A31,'V2_Units'!$K$4:$K$13)*(1-E31)+SUMIF('V2_Units'!$A$4:$A$13,$A31,'V2_Units'!$L$4:$L$13)*E31+SUMIF('V2_Units'!$A$4:$A$13,$A31,'V2_Units'!$O$4:$O$13)*D31)*(1-0.15*J31)</x:f>
        <x:v>9.692374999999998</x:v>
      </x:c>
      <x:c r="M31" s="16" t="n">
        <x:f>1-G31*SUMIF('V2_Units'!$A$4:$A$13,$A31,'V2_Units'!$Q$4:$Q$13)</x:f>
        <x:v>0.94</x:v>
      </x:c>
      <x:c r="N31" s="16" t="n">
        <x:f>1+(SUMIF('V2_Units'!$A$4:$A$13,$A31,'V2_Units'!$P$4:$P$13)-1)*F31*(1-H31)</x:f>
        <x:v>1</x:v>
      </x:c>
      <x:c r="O31" s="16" t="n">
        <x:f>1+SUMIF('V2_Units'!$A$4:$A$13,$A31,'V2_Units'!$R$4:$R$13)*SUMIF('V2_Units'!$A$4:$A$13,$A31,'V2_Units'!$S$4:$S$13)*(1-I31)</x:f>
        <x:v>1.0858</x:v>
      </x:c>
      <x:c r="P31" s="16" t="n">
        <x:f>IF(OR(AND($C31="Anti-Armor",D31&gt;=0.5),AND($C31="Premium Anti-Armor",D31&gt;=0.5),AND($C31="Ranged DPS",E31&gt;=0.5),AND($C31="Mobile General",J31&gt;=0.6),AND($C31="Siege / AOE",OR($B31="Tank Line",$B31="High-Ground Defense",$B31="Narrow Choke — Ranged")),AND($C31="Premium AOE",F31&gt;=0.7),AND($C31="Swarm",F31&gt;=0.7),AND($C31="Frontline",G31&gt;=0.7)),1.12,1.00)</x:f>
        <x:v>1</x:v>
      </x:c>
      <x:c r="Q31" s="54" t="n">
        <x:f>SUMIF('V2_Units'!$A$4:$A$13,$A31,'V2_Units'!$AD$4:$AD$13)*(L31/MAX(0.01,SUMIF('V2_Units'!$A$4:$A$13,$A31,'V2_Units'!$K$4:$K$13)))*M31*N31*O31*P31</x:f>
        <x:v>1.074905585101766</x:v>
      </x:c>
      <x:c r="R31" s="54" t="n">
        <x:f>Q31-SUMIF('V2_Units'!$A$4:$A$13,$A31,'V2_Units'!$AD$4:$AD$13)</x:f>
        <x:v>0.02092125520485877</x:v>
      </x:c>
      <x:c r="S31" s="51" t="str">
        <x:f>IF(Q31&gt;'V2_Parameters'!$B$15,"OVER",IF(Q31&lt;'V2_Parameters'!$B$14,"UNDER","OK"))&amp;" | "&amp;IF(P31&gt;1,"role-fit","base")</x:f>
        <x:v>OK | base</x:v>
      </x:c>
    </x:row>
    <x:row r="32">
      <x:c r="A32" t="str">
        <x:v>Stalker</x:v>
      </x:c>
      <x:c r="B32" t="str">
        <x:v>Open Field — Armored</x:v>
      </x:c>
      <x:c r="C32" t="str">
        <x:f>VLOOKUP($A32,'V2_Units'!$A$4:$B$13,2,FALSE)</x:f>
        <x:v>Mobile General</x:v>
      </x:c>
      <x:c r="D32" s="16" t="n">
        <x:f>SUMIF('V2_Scenarios'!$A$4:$A$12,$B32,'V2_Scenarios'!$C$4:$C$12)</x:f>
        <x:v>0.85</x:v>
      </x:c>
      <x:c r="E32" s="16" t="n">
        <x:f>SUMIF('V2_Scenarios'!$A$4:$A$12,$B32,'V2_Scenarios'!$D$4:$D$12)</x:f>
        <x:v>0.15</x:v>
      </x:c>
      <x:c r="F32" s="16" t="n">
        <x:f>SUMIF('V2_Scenarios'!$A$4:$A$12,$B32,'V2_Scenarios'!$E$4:$E$12)</x:f>
        <x:v>0.45</x:v>
      </x:c>
      <x:c r="G32" s="16" t="n">
        <x:f>SUMIF('V2_Scenarios'!$A$4:$A$12,$B32,'V2_Scenarios'!$F$4:$F$12)</x:f>
        <x:v>0.2</x:v>
      </x:c>
      <x:c r="H32" s="16" t="n">
        <x:f>SUMIF('V2_Scenarios'!$A$4:$A$12,$B32,'V2_Scenarios'!$G$4:$G$12)</x:f>
        <x:v>0.6</x:v>
      </x:c>
      <x:c r="I32" s="16" t="n">
        <x:f>SUMIF('V2_Scenarios'!$A$4:$A$12,$B32,'V2_Scenarios'!$H$4:$H$12)</x:f>
        <x:v>0.35</x:v>
      </x:c>
      <x:c r="J32" s="16" t="n">
        <x:f>SUMIF('V2_Scenarios'!$A$4:$A$12,$B32,'V2_Scenarios'!$I$4:$I$12)</x:f>
        <x:v>0.35</x:v>
      </x:c>
      <x:c r="K32" s="16" t="n">
        <x:f>SUMIF('V2_Units'!$A$4:$A$13,$A32,'V2_Units'!$W$4:$W$13)</x:f>
        <x:v>160</x:v>
      </x:c>
      <x:c r="L32" s="16" t="n">
        <x:f>(SUMIF('V2_Units'!$A$4:$A$13,$A32,'V2_Units'!$K$4:$K$13)*(1-E32)+SUMIF('V2_Units'!$A$4:$A$13,$A32,'V2_Units'!$L$4:$L$13)*E32+SUMIF('V2_Units'!$A$4:$A$13,$A32,'V2_Units'!$O$4:$O$13)*D32)*(1-0.15*J32)</x:f>
        <x:v>12.1706375</x:v>
      </x:c>
      <x:c r="M32" s="16" t="n">
        <x:f>1-G32*SUMIF('V2_Units'!$A$4:$A$13,$A32,'V2_Units'!$Q$4:$Q$13)</x:f>
        <x:v>0.94</x:v>
      </x:c>
      <x:c r="N32" s="16" t="n">
        <x:f>1+(SUMIF('V2_Units'!$A$4:$A$13,$A32,'V2_Units'!$P$4:$P$13)-1)*F32*(1-H32)</x:f>
        <x:v>1</x:v>
      </x:c>
      <x:c r="O32" s="16" t="n">
        <x:f>1+SUMIF('V2_Units'!$A$4:$A$13,$A32,'V2_Units'!$R$4:$R$13)*SUMIF('V2_Units'!$A$4:$A$13,$A32,'V2_Units'!$S$4:$S$13)*(1-I32)</x:f>
        <x:v>1.0858</x:v>
      </x:c>
      <x:c r="P32" s="16" t="n">
        <x:f>IF(OR(AND($C32="Anti-Armor",D32&gt;=0.5),AND($C32="Premium Anti-Armor",D32&gt;=0.5),AND($C32="Ranged DPS",E32&gt;=0.5),AND($C32="Mobile General",J32&gt;=0.6),AND($C32="Siege / AOE",OR($B32="Tank Line",$B32="High-Ground Defense",$B32="Narrow Choke — Ranged")),AND($C32="Premium AOE",F32&gt;=0.7),AND($C32="Swarm",F32&gt;=0.7),AND($C32="Frontline",G32&gt;=0.7)),1.12,1.00)</x:f>
        <x:v>1</x:v>
      </x:c>
      <x:c r="Q32" s="54" t="n">
        <x:f>SUMIF('V2_Units'!$A$4:$A$13,$A32,'V2_Units'!$AD$4:$AD$13)*(L32/MAX(0.01,SUMIF('V2_Units'!$A$4:$A$13,$A32,'V2_Units'!$K$4:$K$13)))*M32*N32*O32*P32</x:f>
        <x:v>1.3497503164084133</x:v>
      </x:c>
      <x:c r="R32" s="54" t="n">
        <x:f>Q32-SUMIF('V2_Units'!$A$4:$A$13,$A32,'V2_Units'!$AD$4:$AD$13)</x:f>
        <x:v>0.2957659865115061</x:v>
      </x:c>
      <x:c r="S32" s="51" t="str">
        <x:f>IF(Q32&gt;'V2_Parameters'!$B$15,"OVER",IF(Q32&lt;'V2_Parameters'!$B$14,"UNDER","OK"))&amp;" | "&amp;IF(P32&gt;1,"role-fit","base")</x:f>
        <x:v>OVER | base</x:v>
      </x:c>
    </x:row>
    <x:row r="33">
      <x:c r="A33" t="str">
        <x:v>Stalker</x:v>
      </x:c>
      <x:c r="B33" t="str">
        <x:v>Narrow Choke — Melee</x:v>
      </x:c>
      <x:c r="C33" t="str">
        <x:f>VLOOKUP($A33,'V2_Units'!$A$4:$B$13,2,FALSE)</x:f>
        <x:v>Mobile General</x:v>
      </x:c>
      <x:c r="D33" s="16" t="n">
        <x:f>SUMIF('V2_Scenarios'!$A$4:$A$12,$B33,'V2_Scenarios'!$C$4:$C$12)</x:f>
        <x:v>0.35</x:v>
      </x:c>
      <x:c r="E33" s="16" t="n">
        <x:f>SUMIF('V2_Scenarios'!$A$4:$A$12,$B33,'V2_Scenarios'!$D$4:$D$12)</x:f>
        <x:v>0.1</x:v>
      </x:c>
      <x:c r="F33" s="16" t="n">
        <x:f>SUMIF('V2_Scenarios'!$A$4:$A$12,$B33,'V2_Scenarios'!$E$4:$E$12)</x:f>
        <x:v>0.85</x:v>
      </x:c>
      <x:c r="G33" s="16" t="n">
        <x:f>SUMIF('V2_Scenarios'!$A$4:$A$12,$B33,'V2_Scenarios'!$F$4:$F$12)</x:f>
        <x:v>0.85</x:v>
      </x:c>
      <x:c r="H33" s="16" t="n">
        <x:f>SUMIF('V2_Scenarios'!$A$4:$A$12,$B33,'V2_Scenarios'!$G$4:$G$12)</x:f>
        <x:v>0.25</x:v>
      </x:c>
      <x:c r="I33" s="16" t="n">
        <x:f>SUMIF('V2_Scenarios'!$A$4:$A$12,$B33,'V2_Scenarios'!$H$4:$H$12)</x:f>
        <x:v>0.4</x:v>
      </x:c>
      <x:c r="J33" s="16" t="n">
        <x:f>SUMIF('V2_Scenarios'!$A$4:$A$12,$B33,'V2_Scenarios'!$I$4:$I$12)</x:f>
        <x:v>0.45</x:v>
      </x:c>
      <x:c r="K33" s="16" t="n">
        <x:f>SUMIF('V2_Units'!$A$4:$A$13,$A33,'V2_Units'!$W$4:$W$13)</x:f>
        <x:v>160</x:v>
      </x:c>
      <x:c r="L33" s="16" t="n">
        <x:f>(SUMIF('V2_Units'!$A$4:$A$13,$A33,'V2_Units'!$K$4:$K$13)*(1-E33)+SUMIF('V2_Units'!$A$4:$A$13,$A33,'V2_Units'!$L$4:$L$13)*E33+SUMIF('V2_Units'!$A$4:$A$13,$A33,'V2_Units'!$O$4:$O$13)*D33)*(1-0.15*J33)</x:f>
        <x:v>10.2528375</x:v>
      </x:c>
      <x:c r="M33" s="16" t="n">
        <x:f>1-G33*SUMIF('V2_Units'!$A$4:$A$13,$A33,'V2_Units'!$Q$4:$Q$13)</x:f>
        <x:v>0.745</x:v>
      </x:c>
      <x:c r="N33" s="16" t="n">
        <x:f>1+(SUMIF('V2_Units'!$A$4:$A$13,$A33,'V2_Units'!$P$4:$P$13)-1)*F33*(1-H33)</x:f>
        <x:v>1</x:v>
      </x:c>
      <x:c r="O33" s="16" t="n">
        <x:f>1+SUMIF('V2_Units'!$A$4:$A$13,$A33,'V2_Units'!$R$4:$R$13)*SUMIF('V2_Units'!$A$4:$A$13,$A33,'V2_Units'!$S$4:$S$13)*(1-I33)</x:f>
        <x:v>1.0792</x:v>
      </x:c>
      <x:c r="P33" s="16" t="n">
        <x:f>IF(OR(AND($C33="Anti-Armor",D33&gt;=0.5),AND($C33="Premium Anti-Armor",D33&gt;=0.5),AND($C33="Ranged DPS",E33&gt;=0.5),AND($C33="Mobile General",J33&gt;=0.6),AND($C33="Siege / AOE",OR($B33="Tank Line",$B33="High-Ground Defense",$B33="Narrow Choke — Ranged")),AND($C33="Premium AOE",F33&gt;=0.7),AND($C33="Swarm",F33&gt;=0.7),AND($C33="Frontline",G33&gt;=0.7)),1.12,1.00)</x:f>
        <x:v>1</x:v>
      </x:c>
      <x:c r="Q33" s="54" t="n">
        <x:f>SUMIF('V2_Units'!$A$4:$A$13,$A33,'V2_Units'!$AD$4:$AD$13)*(L33/MAX(0.01,SUMIF('V2_Units'!$A$4:$A$13,$A33,'V2_Units'!$K$4:$K$13)))*M33*N33*O33*P33</x:f>
        <x:v>0.8957043912527494</x:v>
      </x:c>
      <x:c r="R33" s="54" t="n">
        <x:f>Q33-SUMIF('V2_Units'!$A$4:$A$13,$A33,'V2_Units'!$AD$4:$AD$13)</x:f>
        <x:v>-0.1582799386441578</x:v>
      </x:c>
      <x:c r="S33" s="51" t="str">
        <x:f>IF(Q33&gt;'V2_Parameters'!$B$15,"OVER",IF(Q33&lt;'V2_Parameters'!$B$14,"UNDER","OK"))&amp;" | "&amp;IF(P33&gt;1,"role-fit","base")</x:f>
        <x:v>UNDER | base</x:v>
      </x:c>
    </x:row>
    <x:row r="34">
      <x:c r="A34" t="str">
        <x:v>Stalker</x:v>
      </x:c>
      <x:c r="B34" t="str">
        <x:v>Narrow Choke — Ranged</x:v>
      </x:c>
      <x:c r="C34" t="str">
        <x:f>VLOOKUP($A34,'V2_Units'!$A$4:$B$13,2,FALSE)</x:f>
        <x:v>Mobile General</x:v>
      </x:c>
      <x:c r="D34" s="16" t="n">
        <x:f>SUMIF('V2_Scenarios'!$A$4:$A$12,$B34,'V2_Scenarios'!$C$4:$C$12)</x:f>
        <x:v>0.5</x:v>
      </x:c>
      <x:c r="E34" s="16" t="n">
        <x:f>SUMIF('V2_Scenarios'!$A$4:$A$12,$B34,'V2_Scenarios'!$D$4:$D$12)</x:f>
        <x:v>0.2</x:v>
      </x:c>
      <x:c r="F34" s="16" t="n">
        <x:f>SUMIF('V2_Scenarios'!$A$4:$A$12,$B34,'V2_Scenarios'!$E$4:$E$12)</x:f>
        <x:v>0.75</x:v>
      </x:c>
      <x:c r="G34" s="16" t="n">
        <x:f>SUMIF('V2_Scenarios'!$A$4:$A$12,$B34,'V2_Scenarios'!$F$4:$F$12)</x:f>
        <x:v>0.8</x:v>
      </x:c>
      <x:c r="H34" s="16" t="n">
        <x:f>SUMIF('V2_Scenarios'!$A$4:$A$12,$B34,'V2_Scenarios'!$G$4:$G$12)</x:f>
        <x:v>0.3</x:v>
      </x:c>
      <x:c r="I34" s="16" t="n">
        <x:f>SUMIF('V2_Scenarios'!$A$4:$A$12,$B34,'V2_Scenarios'!$H$4:$H$12)</x:f>
        <x:v>0.35</x:v>
      </x:c>
      <x:c r="J34" s="16" t="n">
        <x:f>SUMIF('V2_Scenarios'!$A$4:$A$12,$B34,'V2_Scenarios'!$I$4:$I$12)</x:f>
        <x:v>0.35</x:v>
      </x:c>
      <x:c r="K34" s="16" t="n">
        <x:f>SUMIF('V2_Units'!$A$4:$A$13,$A34,'V2_Units'!$W$4:$W$13)</x:f>
        <x:v>160</x:v>
      </x:c>
      <x:c r="L34" s="16" t="n">
        <x:f>(SUMIF('V2_Units'!$A$4:$A$13,$A34,'V2_Units'!$K$4:$K$13)*(1-E34)+SUMIF('V2_Units'!$A$4:$A$13,$A34,'V2_Units'!$L$4:$L$13)*E34+SUMIF('V2_Units'!$A$4:$A$13,$A34,'V2_Units'!$O$4:$O$13)*D34)*(1-0.15*J34)</x:f>
        <x:v>10.943624999999999</x:v>
      </x:c>
      <x:c r="M34" s="16" t="n">
        <x:f>1-G34*SUMIF('V2_Units'!$A$4:$A$13,$A34,'V2_Units'!$Q$4:$Q$13)</x:f>
        <x:v>0.76</x:v>
      </x:c>
      <x:c r="N34" s="16" t="n">
        <x:f>1+(SUMIF('V2_Units'!$A$4:$A$13,$A34,'V2_Units'!$P$4:$P$13)-1)*F34*(1-H34)</x:f>
        <x:v>1</x:v>
      </x:c>
      <x:c r="O34" s="16" t="n">
        <x:f>1+SUMIF('V2_Units'!$A$4:$A$13,$A34,'V2_Units'!$R$4:$R$13)*SUMIF('V2_Units'!$A$4:$A$13,$A34,'V2_Units'!$S$4:$S$13)*(1-I34)</x:f>
        <x:v>1.0858</x:v>
      </x:c>
      <x:c r="P34" s="16" t="n">
        <x:f>IF(OR(AND($C34="Anti-Armor",D34&gt;=0.5),AND($C34="Premium Anti-Armor",D34&gt;=0.5),AND($C34="Ranged DPS",E34&gt;=0.5),AND($C34="Mobile General",J34&gt;=0.6),AND($C34="Siege / AOE",OR($B34="Tank Line",$B34="High-Ground Defense",$B34="Narrow Choke — Ranged")),AND($C34="Premium AOE",F34&gt;=0.7),AND($C34="Swarm",F34&gt;=0.7),AND($C34="Frontline",G34&gt;=0.7)),1.12,1.00)</x:f>
        <x:v>1</x:v>
      </x:c>
      <x:c r="Q34" s="54" t="n">
        <x:f>SUMIF('V2_Units'!$A$4:$A$13,$A34,'V2_Units'!$AD$4:$AD$13)*(L34/MAX(0.01,SUMIF('V2_Units'!$A$4:$A$13,$A34,'V2_Units'!$K$4:$K$13)))*M34*N34*O34*P34</x:f>
        <x:v>0.9812666802574935</x:v>
      </x:c>
      <x:c r="R34" s="54" t="n">
        <x:f>Q34-SUMIF('V2_Units'!$A$4:$A$13,$A34,'V2_Units'!$AD$4:$AD$13)</x:f>
        <x:v>-0.07271764963941363</x:v>
      </x:c>
      <x:c r="S34" s="51" t="str">
        <x:f>IF(Q34&gt;'V2_Parameters'!$B$15,"OVER",IF(Q34&lt;'V2_Parameters'!$B$14,"UNDER","OK"))&amp;" | "&amp;IF(P34&gt;1,"role-fit","base")</x:f>
        <x:v>OK | base</x:v>
      </x:c>
    </x:row>
    <x:row r="35">
      <x:c r="A35" t="str">
        <x:v>Stalker</x:v>
      </x:c>
      <x:c r="B35" t="str">
        <x:v>Tank Line</x:v>
      </x:c>
      <x:c r="C35" t="str">
        <x:f>VLOOKUP($A35,'V2_Units'!$A$4:$B$13,2,FALSE)</x:f>
        <x:v>Mobile General</x:v>
      </x:c>
      <x:c r="D35" s="16" t="n">
        <x:f>SUMIF('V2_Scenarios'!$A$4:$A$12,$B35,'V2_Scenarios'!$C$4:$C$12)</x:f>
        <x:v>0.65</x:v>
      </x:c>
      <x:c r="E35" s="16" t="n">
        <x:f>SUMIF('V2_Scenarios'!$A$4:$A$12,$B35,'V2_Scenarios'!$D$4:$D$12)</x:f>
        <x:v>0.15</x:v>
      </x:c>
      <x:c r="F35" s="16" t="n">
        <x:f>SUMIF('V2_Scenarios'!$A$4:$A$12,$B35,'V2_Scenarios'!$E$4:$E$12)</x:f>
        <x:v>0.9</x:v>
      </x:c>
      <x:c r="G35" s="16" t="n">
        <x:f>SUMIF('V2_Scenarios'!$A$4:$A$12,$B35,'V2_Scenarios'!$F$4:$F$12)</x:f>
        <x:v>0.75</x:v>
      </x:c>
      <x:c r="H35" s="16" t="n">
        <x:f>SUMIF('V2_Scenarios'!$A$4:$A$12,$B35,'V2_Scenarios'!$G$4:$G$12)</x:f>
        <x:v>0.35</x:v>
      </x:c>
      <x:c r="I35" s="16" t="n">
        <x:f>SUMIF('V2_Scenarios'!$A$4:$A$12,$B35,'V2_Scenarios'!$H$4:$H$12)</x:f>
        <x:v>0.3</x:v>
      </x:c>
      <x:c r="J35" s="16" t="n">
        <x:f>SUMIF('V2_Scenarios'!$A$4:$A$12,$B35,'V2_Scenarios'!$I$4:$I$12)</x:f>
        <x:v>0.6</x:v>
      </x:c>
      <x:c r="K35" s="16" t="n">
        <x:f>SUMIF('V2_Units'!$A$4:$A$13,$A35,'V2_Units'!$W$4:$W$13)</x:f>
        <x:v>160</x:v>
      </x:c>
      <x:c r="L35" s="16" t="n">
        <x:f>(SUMIF('V2_Units'!$A$4:$A$13,$A35,'V2_Units'!$K$4:$K$13)*(1-E35)+SUMIF('V2_Units'!$A$4:$A$13,$A35,'V2_Units'!$L$4:$L$13)*E35+SUMIF('V2_Units'!$A$4:$A$13,$A35,'V2_Units'!$O$4:$O$13)*D35)*(1-0.15*J35)</x:f>
        <x:v>11.015550000000001</x:v>
      </x:c>
      <x:c r="M35" s="16" t="n">
        <x:f>1-G35*SUMIF('V2_Units'!$A$4:$A$13,$A35,'V2_Units'!$Q$4:$Q$13)</x:f>
        <x:v>0.775</x:v>
      </x:c>
      <x:c r="N35" s="16" t="n">
        <x:f>1+(SUMIF('V2_Units'!$A$4:$A$13,$A35,'V2_Units'!$P$4:$P$13)-1)*F35*(1-H35)</x:f>
        <x:v>1</x:v>
      </x:c>
      <x:c r="O35" s="16" t="n">
        <x:f>1+SUMIF('V2_Units'!$A$4:$A$13,$A35,'V2_Units'!$R$4:$R$13)*SUMIF('V2_Units'!$A$4:$A$13,$A35,'V2_Units'!$S$4:$S$13)*(1-I35)</x:f>
        <x:v>1.0924</x:v>
      </x:c>
      <x:c r="P35" s="16" t="n">
        <x:f>IF(OR(AND($C35="Anti-Armor",D35&gt;=0.5),AND($C35="Premium Anti-Armor",D35&gt;=0.5),AND($C35="Ranged DPS",E35&gt;=0.5),AND($C35="Mobile General",J35&gt;=0.6),AND($C35="Siege / AOE",OR($B35="Tank Line",$B35="High-Ground Defense",$B35="Narrow Choke — Ranged")),AND($C35="Premium AOE",F35&gt;=0.7),AND($C35="Swarm",F35&gt;=0.7),AND($C35="Frontline",G35&gt;=0.7)),1.12,1.00)</x:f>
        <x:v>1.12</x:v>
      </x:c>
      <x:c r="Q35" s="54" t="n">
        <x:f>SUMIF('V2_Units'!$A$4:$A$13,$A35,'V2_Units'!$AD$4:$AD$13)*(L35/MAX(0.01,SUMIF('V2_Units'!$A$4:$A$13,$A35,'V2_Units'!$K$4:$K$13)))*M35*N35*O35*P35</x:f>
        <x:v>1.1349324734925161</x:v>
      </x:c>
      <x:c r="R35" s="54" t="n">
        <x:f>Q35-SUMIF('V2_Units'!$A$4:$A$13,$A35,'V2_Units'!$AD$4:$AD$13)</x:f>
        <x:v>0.08094814359560898</x:v>
      </x:c>
      <x:c r="S35" s="51" t="str">
        <x:f>IF(Q35&gt;'V2_Parameters'!$B$15,"OVER",IF(Q35&lt;'V2_Parameters'!$B$14,"UNDER","OK"))&amp;" | "&amp;IF(P35&gt;1,"role-fit","base")</x:f>
        <x:v>OVER | role-fit</x:v>
      </x:c>
    </x:row>
    <x:row r="36">
      <x:c r="A36" t="str">
        <x:v>Stalker</x:v>
      </x:c>
      <x:c r="B36" t="str">
        <x:v>Massive Swarm</x:v>
      </x:c>
      <x:c r="C36" t="str">
        <x:f>VLOOKUP($A36,'V2_Units'!$A$4:$B$13,2,FALSE)</x:f>
        <x:v>Mobile General</x:v>
      </x:c>
      <x:c r="D36" s="16" t="n">
        <x:f>SUMIF('V2_Scenarios'!$A$4:$A$12,$B36,'V2_Scenarios'!$C$4:$C$12)</x:f>
        <x:v>0.2</x:v>
      </x:c>
      <x:c r="E36" s="16" t="n">
        <x:f>SUMIF('V2_Scenarios'!$A$4:$A$12,$B36,'V2_Scenarios'!$D$4:$D$12)</x:f>
        <x:v>0.1</x:v>
      </x:c>
      <x:c r="F36" s="16" t="n">
        <x:f>SUMIF('V2_Scenarios'!$A$4:$A$12,$B36,'V2_Scenarios'!$E$4:$E$12)</x:f>
        <x:v>0.95</x:v>
      </x:c>
      <x:c r="G36" s="16" t="n">
        <x:f>SUMIF('V2_Scenarios'!$A$4:$A$12,$B36,'V2_Scenarios'!$F$4:$F$12)</x:f>
        <x:v>0.35</x:v>
      </x:c>
      <x:c r="H36" s="16" t="n">
        <x:f>SUMIF('V2_Scenarios'!$A$4:$A$12,$B36,'V2_Scenarios'!$G$4:$G$12)</x:f>
        <x:v>0.2</x:v>
      </x:c>
      <x:c r="I36" s="16" t="n">
        <x:f>SUMIF('V2_Scenarios'!$A$4:$A$12,$B36,'V2_Scenarios'!$H$4:$H$12)</x:f>
        <x:v>0.3</x:v>
      </x:c>
      <x:c r="J36" s="16" t="n">
        <x:f>SUMIF('V2_Scenarios'!$A$4:$A$12,$B36,'V2_Scenarios'!$I$4:$I$12)</x:f>
        <x:v>0.4</x:v>
      </x:c>
      <x:c r="K36" s="16" t="n">
        <x:f>SUMIF('V2_Units'!$A$4:$A$13,$A36,'V2_Units'!$W$4:$W$13)</x:f>
        <x:v>160</x:v>
      </x:c>
      <x:c r="L36" s="16" t="n">
        <x:f>(SUMIF('V2_Units'!$A$4:$A$13,$A36,'V2_Units'!$K$4:$K$13)*(1-E36)+SUMIF('V2_Units'!$A$4:$A$13,$A36,'V2_Units'!$L$4:$L$13)*E36+SUMIF('V2_Units'!$A$4:$A$13,$A36,'V2_Units'!$O$4:$O$13)*D36)*(1-0.15*J36)</x:f>
        <x:v>9.813600000000001</x:v>
      </x:c>
      <x:c r="M36" s="16" t="n">
        <x:f>1-G36*SUMIF('V2_Units'!$A$4:$A$13,$A36,'V2_Units'!$Q$4:$Q$13)</x:f>
        <x:v>0.895</x:v>
      </x:c>
      <x:c r="N36" s="16" t="n">
        <x:f>1+(SUMIF('V2_Units'!$A$4:$A$13,$A36,'V2_Units'!$P$4:$P$13)-1)*F36*(1-H36)</x:f>
        <x:v>1</x:v>
      </x:c>
      <x:c r="O36" s="16" t="n">
        <x:f>1+SUMIF('V2_Units'!$A$4:$A$13,$A36,'V2_Units'!$R$4:$R$13)*SUMIF('V2_Units'!$A$4:$A$13,$A36,'V2_Units'!$S$4:$S$13)*(1-I36)</x:f>
        <x:v>1.0924</x:v>
      </x:c>
      <x:c r="P36" s="16" t="n">
        <x:f>IF(OR(AND($C36="Anti-Armor",D36&gt;=0.5),AND($C36="Premium Anti-Armor",D36&gt;=0.5),AND($C36="Ranged DPS",E36&gt;=0.5),AND($C36="Mobile General",J36&gt;=0.6),AND($C36="Siege / AOE",OR($B36="Tank Line",$B36="High-Ground Defense",$B36="Narrow Choke — Ranged")),AND($C36="Premium AOE",F36&gt;=0.7),AND($C36="Swarm",F36&gt;=0.7),AND($C36="Frontline",G36&gt;=0.7)),1.12,1.00)</x:f>
        <x:v>1</x:v>
      </x:c>
      <x:c r="Q36" s="54" t="n">
        <x:f>SUMIF('V2_Units'!$A$4:$A$13,$A36,'V2_Units'!$AD$4:$AD$13)*(L36/MAX(0.01,SUMIF('V2_Units'!$A$4:$A$13,$A36,'V2_Units'!$K$4:$K$13)))*M36*N36*O36*P36</x:f>
        <x:v>1.0425466541537949</x:v>
      </x:c>
      <x:c r="R36" s="54" t="n">
        <x:f>Q36-SUMIF('V2_Units'!$A$4:$A$13,$A36,'V2_Units'!$AD$4:$AD$13)</x:f>
        <x:v>-0.011437675743112274</x:v>
      </x:c>
      <x:c r="S36" s="51" t="str">
        <x:f>IF(Q36&gt;'V2_Parameters'!$B$15,"OVER",IF(Q36&lt;'V2_Parameters'!$B$14,"UNDER","OK"))&amp;" | "&amp;IF(P36&gt;1,"role-fit","base")</x:f>
        <x:v>OK | base</x:v>
      </x:c>
    </x:row>
    <x:row r="37">
      <x:c r="A37" t="str">
        <x:v>Stalker</x:v>
      </x:c>
      <x:c r="B37" t="str">
        <x:v>High-Ground Defense</x:v>
      </x:c>
      <x:c r="C37" t="str">
        <x:f>VLOOKUP($A37,'V2_Units'!$A$4:$B$13,2,FALSE)</x:f>
        <x:v>Mobile General</x:v>
      </x:c>
      <x:c r="D37" s="16" t="n">
        <x:f>SUMIF('V2_Scenarios'!$A$4:$A$12,$B37,'V2_Scenarios'!$C$4:$C$12)</x:f>
        <x:v>0.55</x:v>
      </x:c>
      <x:c r="E37" s="16" t="n">
        <x:f>SUMIF('V2_Scenarios'!$A$4:$A$12,$B37,'V2_Scenarios'!$D$4:$D$12)</x:f>
        <x:v>0.15</x:v>
      </x:c>
      <x:c r="F37" s="16" t="n">
        <x:f>SUMIF('V2_Scenarios'!$A$4:$A$12,$B37,'V2_Scenarios'!$E$4:$E$12)</x:f>
        <x:v>0.7</x:v>
      </x:c>
      <x:c r="G37" s="16" t="n">
        <x:f>SUMIF('V2_Scenarios'!$A$4:$A$12,$B37,'V2_Scenarios'!$F$4:$F$12)</x:f>
        <x:v>0.55</x:v>
      </x:c>
      <x:c r="H37" s="16" t="n">
        <x:f>SUMIF('V2_Scenarios'!$A$4:$A$12,$B37,'V2_Scenarios'!$G$4:$G$12)</x:f>
        <x:v>0.5</x:v>
      </x:c>
      <x:c r="I37" s="16" t="n">
        <x:f>SUMIF('V2_Scenarios'!$A$4:$A$12,$B37,'V2_Scenarios'!$H$4:$H$12)</x:f>
        <x:v>0.3</x:v>
      </x:c>
      <x:c r="J37" s="16" t="n">
        <x:f>SUMIF('V2_Scenarios'!$A$4:$A$12,$B37,'V2_Scenarios'!$I$4:$I$12)</x:f>
        <x:v>0.55</x:v>
      </x:c>
      <x:c r="K37" s="16" t="n">
        <x:f>SUMIF('V2_Units'!$A$4:$A$13,$A37,'V2_Units'!$W$4:$W$13)</x:f>
        <x:v>160</x:v>
      </x:c>
      <x:c r="L37" s="16" t="n">
        <x:f>(SUMIF('V2_Units'!$A$4:$A$13,$A37,'V2_Units'!$K$4:$K$13)*(1-E37)+SUMIF('V2_Units'!$A$4:$A$13,$A37,'V2_Units'!$L$4:$L$13)*E37+SUMIF('V2_Units'!$A$4:$A$13,$A37,'V2_Units'!$O$4:$O$13)*D37)*(1-0.15*J37)</x:f>
        <x:v>10.766862499999998</x:v>
      </x:c>
      <x:c r="M37" s="16" t="n">
        <x:f>1-G37*SUMIF('V2_Units'!$A$4:$A$13,$A37,'V2_Units'!$Q$4:$Q$13)</x:f>
        <x:v>0.835</x:v>
      </x:c>
      <x:c r="N37" s="16" t="n">
        <x:f>1+(SUMIF('V2_Units'!$A$4:$A$13,$A37,'V2_Units'!$P$4:$P$13)-1)*F37*(1-H37)</x:f>
        <x:v>1</x:v>
      </x:c>
      <x:c r="O37" s="16" t="n">
        <x:f>1+SUMIF('V2_Units'!$A$4:$A$13,$A37,'V2_Units'!$R$4:$R$13)*SUMIF('V2_Units'!$A$4:$A$13,$A37,'V2_Units'!$S$4:$S$13)*(1-I37)</x:f>
        <x:v>1.0924</x:v>
      </x:c>
      <x:c r="P37" s="16" t="n">
        <x:f>IF(OR(AND($C37="Anti-Armor",D37&gt;=0.5),AND($C37="Premium Anti-Armor",D37&gt;=0.5),AND($C37="Ranged DPS",E37&gt;=0.5),AND($C37="Mobile General",J37&gt;=0.6),AND($C37="Siege / AOE",OR($B37="Tank Line",$B37="High-Ground Defense",$B37="Narrow Choke — Ranged")),AND($C37="Premium AOE",F37&gt;=0.7),AND($C37="Swarm",F37&gt;=0.7),AND($C37="Frontline",G37&gt;=0.7)),1.12,1.00)</x:f>
        <x:v>1</x:v>
      </x:c>
      <x:c r="Q37" s="54" t="n">
        <x:f>SUMIF('V2_Units'!$A$4:$A$13,$A37,'V2_Units'!$AD$4:$AD$13)*(L37/MAX(0.01,SUMIF('V2_Units'!$A$4:$A$13,$A37,'V2_Units'!$K$4:$K$13)))*M37*N37*O37*P37</x:f>
        <x:v>1.067135956886189</x:v>
      </x:c>
      <x:c r="R37" s="54" t="n">
        <x:f>Q37-SUMIF('V2_Units'!$A$4:$A$13,$A37,'V2_Units'!$AD$4:$AD$13)</x:f>
        <x:v>0.01315162698928174</x:v>
      </x:c>
      <x:c r="S37" s="51" t="str">
        <x:f>IF(Q37&gt;'V2_Parameters'!$B$15,"OVER",IF(Q37&lt;'V2_Parameters'!$B$14,"UNDER","OK"))&amp;" | "&amp;IF(P37&gt;1,"role-fit","base")</x:f>
        <x:v>OK | base</x:v>
      </x:c>
    </x:row>
    <x:row r="38">
      <x:c r="A38" t="str">
        <x:v>Stalker</x:v>
      </x:c>
      <x:c r="B38" t="str">
        <x:v>Anti-Air Screen</x:v>
      </x:c>
      <x:c r="C38" t="str">
        <x:f>VLOOKUP($A38,'V2_Units'!$A$4:$B$13,2,FALSE)</x:f>
        <x:v>Mobile General</x:v>
      </x:c>
      <x:c r="D38" s="16" t="n">
        <x:f>SUMIF('V2_Scenarios'!$A$4:$A$12,$B38,'V2_Scenarios'!$C$4:$C$12)</x:f>
        <x:v>0.2</x:v>
      </x:c>
      <x:c r="E38" s="16" t="n">
        <x:f>SUMIF('V2_Scenarios'!$A$4:$A$12,$B38,'V2_Scenarios'!$D$4:$D$12)</x:f>
        <x:v>0.8</x:v>
      </x:c>
      <x:c r="F38" s="16" t="n">
        <x:f>SUMIF('V2_Scenarios'!$A$4:$A$12,$B38,'V2_Scenarios'!$E$4:$E$12)</x:f>
        <x:v>0.6</x:v>
      </x:c>
      <x:c r="G38" s="16" t="n">
        <x:f>SUMIF('V2_Scenarios'!$A$4:$A$12,$B38,'V2_Scenarios'!$F$4:$F$12)</x:f>
        <x:v>0.45</x:v>
      </x:c>
      <x:c r="H38" s="16" t="n">
        <x:f>SUMIF('V2_Scenarios'!$A$4:$A$12,$B38,'V2_Scenarios'!$G$4:$G$12)</x:f>
        <x:v>0.55</x:v>
      </x:c>
      <x:c r="I38" s="16" t="n">
        <x:f>SUMIF('V2_Scenarios'!$A$4:$A$12,$B38,'V2_Scenarios'!$H$4:$H$12)</x:f>
        <x:v>0.25</x:v>
      </x:c>
      <x:c r="J38" s="16" t="n">
        <x:f>SUMIF('V2_Scenarios'!$A$4:$A$12,$B38,'V2_Scenarios'!$I$4:$I$12)</x:f>
        <x:v>0.45</x:v>
      </x:c>
      <x:c r="K38" s="16" t="n">
        <x:f>SUMIF('V2_Units'!$A$4:$A$13,$A38,'V2_Units'!$W$4:$W$13)</x:f>
        <x:v>160</x:v>
      </x:c>
      <x:c r="L38" s="16" t="n">
        <x:f>(SUMIF('V2_Units'!$A$4:$A$13,$A38,'V2_Units'!$K$4:$K$13)*(1-E38)+SUMIF('V2_Units'!$A$4:$A$13,$A38,'V2_Units'!$L$4:$L$13)*E38+SUMIF('V2_Units'!$A$4:$A$13,$A38,'V2_Units'!$O$4:$O$13)*D38)*(1-0.15*J38)</x:f>
        <x:v>9.735299999999999</x:v>
      </x:c>
      <x:c r="M38" s="16" t="n">
        <x:f>1-G38*SUMIF('V2_Units'!$A$4:$A$13,$A38,'V2_Units'!$Q$4:$Q$13)</x:f>
        <x:v>0.865</x:v>
      </x:c>
      <x:c r="N38" s="16" t="n">
        <x:f>1+(SUMIF('V2_Units'!$A$4:$A$13,$A38,'V2_Units'!$P$4:$P$13)-1)*F38*(1-H38)</x:f>
        <x:v>1</x:v>
      </x:c>
      <x:c r="O38" s="16" t="n">
        <x:f>1+SUMIF('V2_Units'!$A$4:$A$13,$A38,'V2_Units'!$R$4:$R$13)*SUMIF('V2_Units'!$A$4:$A$13,$A38,'V2_Units'!$S$4:$S$13)*(1-I38)</x:f>
        <x:v>1.099</x:v>
      </x:c>
      <x:c r="P38" s="16" t="n">
        <x:f>IF(OR(AND($C38="Anti-Armor",D38&gt;=0.5),AND($C38="Premium Anti-Armor",D38&gt;=0.5),AND($C38="Ranged DPS",E38&gt;=0.5),AND($C38="Mobile General",J38&gt;=0.6),AND($C38="Siege / AOE",OR($B38="Tank Line",$B38="High-Ground Defense",$B38="Narrow Choke — Ranged")),AND($C38="Premium AOE",F38&gt;=0.7),AND($C38="Swarm",F38&gt;=0.7),AND($C38="Frontline",G38&gt;=0.7)),1.12,1.00)</x:f>
        <x:v>1</x:v>
      </x:c>
      <x:c r="Q38" s="54" t="n">
        <x:f>SUMIF('V2_Units'!$A$4:$A$13,$A38,'V2_Units'!$AD$4:$AD$13)*(L38/MAX(0.01,SUMIF('V2_Units'!$A$4:$A$13,$A38,'V2_Units'!$K$4:$K$13)))*M38*N38*O38*P38</x:f>
        <x:v>1.005600681089571</x:v>
      </x:c>
      <x:c r="R38" s="54" t="n">
        <x:f>Q38-SUMIF('V2_Units'!$A$4:$A$13,$A38,'V2_Units'!$AD$4:$AD$13)</x:f>
        <x:v>-0.048383648807336144</x:v>
      </x:c>
      <x:c r="S38" s="51" t="str">
        <x:f>IF(Q38&gt;'V2_Parameters'!$B$15,"OVER",IF(Q38&lt;'V2_Parameters'!$B$14,"UNDER","OK"))&amp;" | "&amp;IF(P38&gt;1,"role-fit","base")</x:f>
        <x:v>OK | base</x:v>
      </x:c>
    </x:row>
    <x:row r="39">
      <x:c r="A39" t="str">
        <x:v>Stalker</x:v>
      </x:c>
      <x:c r="B39" t="str">
        <x:v>Kite Scenario</x:v>
      </x:c>
      <x:c r="C39" t="str">
        <x:f>VLOOKUP($A39,'V2_Units'!$A$4:$B$13,2,FALSE)</x:f>
        <x:v>Mobile General</x:v>
      </x:c>
      <x:c r="D39" s="16" t="n">
        <x:f>SUMIF('V2_Scenarios'!$A$4:$A$12,$B39,'V2_Scenarios'!$C$4:$C$12)</x:f>
        <x:v>0.25</x:v>
      </x:c>
      <x:c r="E39" s="16" t="n">
        <x:f>SUMIF('V2_Scenarios'!$A$4:$A$12,$B39,'V2_Scenarios'!$D$4:$D$12)</x:f>
        <x:v>0.2</x:v>
      </x:c>
      <x:c r="F39" s="16" t="n">
        <x:f>SUMIF('V2_Scenarios'!$A$4:$A$12,$B39,'V2_Scenarios'!$E$4:$E$12)</x:f>
        <x:v>0.55</x:v>
      </x:c>
      <x:c r="G39" s="16" t="n">
        <x:f>SUMIF('V2_Scenarios'!$A$4:$A$12,$B39,'V2_Scenarios'!$F$4:$F$12)</x:f>
        <x:v>0.3</x:v>
      </x:c>
      <x:c r="H39" s="16" t="n">
        <x:f>SUMIF('V2_Scenarios'!$A$4:$A$12,$B39,'V2_Scenarios'!$G$4:$G$12)</x:f>
        <x:v>0.65</x:v>
      </x:c>
      <x:c r="I39" s="16" t="n">
        <x:f>SUMIF('V2_Scenarios'!$A$4:$A$12,$B39,'V2_Scenarios'!$H$4:$H$12)</x:f>
        <x:v>0.45</x:v>
      </x:c>
      <x:c r="J39" s="16" t="n">
        <x:f>SUMIF('V2_Scenarios'!$A$4:$A$12,$B39,'V2_Scenarios'!$I$4:$I$12)</x:f>
        <x:v>0.8</x:v>
      </x:c>
      <x:c r="K39" s="16" t="n">
        <x:f>SUMIF('V2_Units'!$A$4:$A$13,$A39,'V2_Units'!$W$4:$W$13)</x:f>
        <x:v>160</x:v>
      </x:c>
      <x:c r="L39" s="16" t="n">
        <x:f>(SUMIF('V2_Units'!$A$4:$A$13,$A39,'V2_Units'!$K$4:$K$13)*(1-E39)+SUMIF('V2_Units'!$A$4:$A$13,$A39,'V2_Units'!$L$4:$L$13)*E39+SUMIF('V2_Units'!$A$4:$A$13,$A39,'V2_Units'!$O$4:$O$13)*D39)*(1-0.15*J39)</x:f>
        <x:v>9.35</x:v>
      </x:c>
      <x:c r="M39" s="16" t="n">
        <x:f>1-G39*SUMIF('V2_Units'!$A$4:$A$13,$A39,'V2_Units'!$Q$4:$Q$13)</x:f>
        <x:v>0.91</x:v>
      </x:c>
      <x:c r="N39" s="16" t="n">
        <x:f>1+(SUMIF('V2_Units'!$A$4:$A$13,$A39,'V2_Units'!$P$4:$P$13)-1)*F39*(1-H39)</x:f>
        <x:v>1</x:v>
      </x:c>
      <x:c r="O39" s="16" t="n">
        <x:f>1+SUMIF('V2_Units'!$A$4:$A$13,$A39,'V2_Units'!$R$4:$R$13)*SUMIF('V2_Units'!$A$4:$A$13,$A39,'V2_Units'!$S$4:$S$13)*(1-I39)</x:f>
        <x:v>1.0726</x:v>
      </x:c>
      <x:c r="P39" s="16" t="n">
        <x:f>IF(OR(AND($C39="Anti-Armor",D39&gt;=0.5),AND($C39="Premium Anti-Armor",D39&gt;=0.5),AND($C39="Ranged DPS",E39&gt;=0.5),AND($C39="Mobile General",J39&gt;=0.6),AND($C39="Siege / AOE",OR($B39="Tank Line",$B39="High-Ground Defense",$B39="Narrow Choke — Ranged")),AND($C39="Premium AOE",F39&gt;=0.7),AND($C39="Swarm",F39&gt;=0.7),AND($C39="Frontline",G39&gt;=0.7)),1.12,1.00)</x:f>
        <x:v>1.12</x:v>
      </x:c>
      <x:c r="Q39" s="54" t="n">
        <x:f>SUMIF('V2_Units'!$A$4:$A$13,$A39,'V2_Units'!$AD$4:$AD$13)*(L39/MAX(0.01,SUMIF('V2_Units'!$A$4:$A$13,$A39,'V2_Units'!$K$4:$K$13)))*M39*N39*O39*P39</x:f>
        <x:v>1.110634700246769</x:v>
      </x:c>
      <x:c r="R39" s="54" t="n">
        <x:f>Q39-SUMIF('V2_Units'!$A$4:$A$13,$A39,'V2_Units'!$AD$4:$AD$13)</x:f>
        <x:v>0.056650370349861756</x:v>
      </x:c>
      <x:c r="S39" s="51" t="str">
        <x:f>IF(Q39&gt;'V2_Parameters'!$B$15,"OVER",IF(Q39&lt;'V2_Parameters'!$B$14,"UNDER","OK"))&amp;" | "&amp;IF(P39&gt;1,"role-fit","base")</x:f>
        <x:v>OVER | role-fit</x:v>
      </x:c>
    </x:row>
    <x:row r="40">
      <x:c r="A40" t="str">
        <x:v>Zergling</x:v>
      </x:c>
      <x:c r="B40" t="str">
        <x:v>Open Field — Light Mass</x:v>
      </x:c>
      <x:c r="C40" t="str">
        <x:f>VLOOKUP($A40,'V2_Units'!$A$4:$B$13,2,FALSE)</x:f>
        <x:v>Swarm</x:v>
      </x:c>
      <x:c r="D40" s="16" t="n">
        <x:f>SUMIF('V2_Scenarios'!$A$4:$A$12,$B40,'V2_Scenarios'!$C$4:$C$12)</x:f>
        <x:v>0.1</x:v>
      </x:c>
      <x:c r="E40" s="16" t="n">
        <x:f>SUMIF('V2_Scenarios'!$A$4:$A$12,$B40,'V2_Scenarios'!$D$4:$D$12)</x:f>
        <x:v>0.2</x:v>
      </x:c>
      <x:c r="F40" s="16" t="n">
        <x:f>SUMIF('V2_Scenarios'!$A$4:$A$12,$B40,'V2_Scenarios'!$E$4:$E$12)</x:f>
        <x:v>0.45</x:v>
      </x:c>
      <x:c r="G40" s="16" t="n">
        <x:f>SUMIF('V2_Scenarios'!$A$4:$A$12,$B40,'V2_Scenarios'!$F$4:$F$12)</x:f>
        <x:v>0.2</x:v>
      </x:c>
      <x:c r="H40" s="16" t="n">
        <x:f>SUMIF('V2_Scenarios'!$A$4:$A$12,$B40,'V2_Scenarios'!$G$4:$G$12)</x:f>
        <x:v>0.6</x:v>
      </x:c>
      <x:c r="I40" s="16" t="n">
        <x:f>SUMIF('V2_Scenarios'!$A$4:$A$12,$B40,'V2_Scenarios'!$H$4:$H$12)</x:f>
        <x:v>0.35</x:v>
      </x:c>
      <x:c r="J40" s="16" t="n">
        <x:f>SUMIF('V2_Scenarios'!$A$4:$A$12,$B40,'V2_Scenarios'!$I$4:$I$12)</x:f>
        <x:v>0.25</x:v>
      </x:c>
      <x:c r="K40" s="16" t="n">
        <x:f>SUMIF('V2_Units'!$A$4:$A$13,$A40,'V2_Units'!$W$4:$W$13)</x:f>
        <x:v>35</x:v>
      </x:c>
      <x:c r="L40" s="16" t="n">
        <x:f>(SUMIF('V2_Units'!$A$4:$A$13,$A40,'V2_Units'!$K$4:$K$13)*(1-E40)+SUMIF('V2_Units'!$A$4:$A$13,$A40,'V2_Units'!$L$4:$L$13)*E40+SUMIF('V2_Units'!$A$4:$A$13,$A40,'V2_Units'!$O$4:$O$13)*D40)*(1-0.15*J40)</x:f>
        <x:v>7.7</x:v>
      </x:c>
      <x:c r="M40" s="16" t="n">
        <x:f>1-G40*SUMIF('V2_Units'!$A$4:$A$13,$A40,'V2_Units'!$Q$4:$Q$13)</x:f>
        <x:v>0.976</x:v>
      </x:c>
      <x:c r="N40" s="16" t="n">
        <x:f>1+(SUMIF('V2_Units'!$A$4:$A$13,$A40,'V2_Units'!$P$4:$P$13)-1)*F40*(1-H40)</x:f>
        <x:v>1</x:v>
      </x:c>
      <x:c r="O40" s="16" t="n">
        <x:f>1+SUMIF('V2_Units'!$A$4:$A$13,$A40,'V2_Units'!$R$4:$R$13)*SUMIF('V2_Units'!$A$4:$A$13,$A40,'V2_Units'!$S$4:$S$13)*(1-I40)</x:f>
        <x:v>1.02925</x:v>
      </x:c>
      <x:c r="P40" s="16" t="n">
        <x:f>IF(OR(AND($C40="Anti-Armor",D40&gt;=0.5),AND($C40="Premium Anti-Armor",D40&gt;=0.5),AND($C40="Ranged DPS",E40&gt;=0.5),AND($C40="Mobile General",J40&gt;=0.6),AND($C40="Siege / AOE",OR($B40="Tank Line",$B40="High-Ground Defense",$B40="Narrow Choke — Ranged")),AND($C40="Premium AOE",F40&gt;=0.7),AND($C40="Swarm",F40&gt;=0.7),AND($C40="Frontline",G40&gt;=0.7)),1.12,1.00)</x:f>
        <x:v>1</x:v>
      </x:c>
      <x:c r="Q40" s="54" t="n">
        <x:f>SUMIF('V2_Units'!$A$4:$A$13,$A40,'V2_Units'!$AD$4:$AD$13)*(L40/MAX(0.01,SUMIF('V2_Units'!$A$4:$A$13,$A40,'V2_Units'!$K$4:$K$13)))*M40*N40*O40*P40</x:f>
        <x:v>0.7782009844070001</x:v>
      </x:c>
      <x:c r="R40" s="54" t="n">
        <x:f>Q40-SUMIF('V2_Units'!$A$4:$A$13,$A40,'V2_Units'!$AD$4:$AD$13)</x:f>
        <x:v>-0.2278740155929999</x:v>
      </x:c>
      <x:c r="S40" s="51" t="str">
        <x:f>IF(Q40&gt;'V2_Parameters'!$B$15,"OVER",IF(Q40&lt;'V2_Parameters'!$B$14,"UNDER","OK"))&amp;" | "&amp;IF(P40&gt;1,"role-fit","base")</x:f>
        <x:v>UNDER | base</x:v>
      </x:c>
    </x:row>
    <x:row r="41">
      <x:c r="A41" t="str">
        <x:v>Zergling</x:v>
      </x:c>
      <x:c r="B41" t="str">
        <x:v>Open Field — Armored</x:v>
      </x:c>
      <x:c r="C41" t="str">
        <x:f>VLOOKUP($A41,'V2_Units'!$A$4:$B$13,2,FALSE)</x:f>
        <x:v>Swarm</x:v>
      </x:c>
      <x:c r="D41" s="16" t="n">
        <x:f>SUMIF('V2_Scenarios'!$A$4:$A$12,$B41,'V2_Scenarios'!$C$4:$C$12)</x:f>
        <x:v>0.85</x:v>
      </x:c>
      <x:c r="E41" s="16" t="n">
        <x:f>SUMIF('V2_Scenarios'!$A$4:$A$12,$B41,'V2_Scenarios'!$D$4:$D$12)</x:f>
        <x:v>0.15</x:v>
      </x:c>
      <x:c r="F41" s="16" t="n">
        <x:f>SUMIF('V2_Scenarios'!$A$4:$A$12,$B41,'V2_Scenarios'!$E$4:$E$12)</x:f>
        <x:v>0.45</x:v>
      </x:c>
      <x:c r="G41" s="16" t="n">
        <x:f>SUMIF('V2_Scenarios'!$A$4:$A$12,$B41,'V2_Scenarios'!$F$4:$F$12)</x:f>
        <x:v>0.2</x:v>
      </x:c>
      <x:c r="H41" s="16" t="n">
        <x:f>SUMIF('V2_Scenarios'!$A$4:$A$12,$B41,'V2_Scenarios'!$G$4:$G$12)</x:f>
        <x:v>0.6</x:v>
      </x:c>
      <x:c r="I41" s="16" t="n">
        <x:f>SUMIF('V2_Scenarios'!$A$4:$A$12,$B41,'V2_Scenarios'!$H$4:$H$12)</x:f>
        <x:v>0.35</x:v>
      </x:c>
      <x:c r="J41" s="16" t="n">
        <x:f>SUMIF('V2_Scenarios'!$A$4:$A$12,$B41,'V2_Scenarios'!$I$4:$I$12)</x:f>
        <x:v>0.35</x:v>
      </x:c>
      <x:c r="K41" s="16" t="n">
        <x:f>SUMIF('V2_Units'!$A$4:$A$13,$A41,'V2_Units'!$W$4:$W$13)</x:f>
        <x:v>35</x:v>
      </x:c>
      <x:c r="L41" s="16" t="n">
        <x:f>(SUMIF('V2_Units'!$A$4:$A$13,$A41,'V2_Units'!$K$4:$K$13)*(1-E41)+SUMIF('V2_Units'!$A$4:$A$13,$A41,'V2_Units'!$L$4:$L$13)*E41+SUMIF('V2_Units'!$A$4:$A$13,$A41,'V2_Units'!$O$4:$O$13)*D41)*(1-0.15*J41)</x:f>
        <x:v>8.05375</x:v>
      </x:c>
      <x:c r="M41" s="16" t="n">
        <x:f>1-G41*SUMIF('V2_Units'!$A$4:$A$13,$A41,'V2_Units'!$Q$4:$Q$13)</x:f>
        <x:v>0.976</x:v>
      </x:c>
      <x:c r="N41" s="16" t="n">
        <x:f>1+(SUMIF('V2_Units'!$A$4:$A$13,$A41,'V2_Units'!$P$4:$P$13)-1)*F41*(1-H41)</x:f>
        <x:v>1</x:v>
      </x:c>
      <x:c r="O41" s="16" t="n">
        <x:f>1+SUMIF('V2_Units'!$A$4:$A$13,$A41,'V2_Units'!$R$4:$R$13)*SUMIF('V2_Units'!$A$4:$A$13,$A41,'V2_Units'!$S$4:$S$13)*(1-I41)</x:f>
        <x:v>1.02925</x:v>
      </x:c>
      <x:c r="P41" s="16" t="n">
        <x:f>IF(OR(AND($C41="Anti-Armor",D41&gt;=0.5),AND($C41="Premium Anti-Armor",D41&gt;=0.5),AND($C41="Ranged DPS",E41&gt;=0.5),AND($C41="Mobile General",J41&gt;=0.6),AND($C41="Siege / AOE",OR($B41="Tank Line",$B41="High-Ground Defense",$B41="Narrow Choke — Ranged")),AND($C41="Premium AOE",F41&gt;=0.7),AND($C41="Swarm",F41&gt;=0.7),AND($C41="Frontline",G41&gt;=0.7)),1.12,1.00)</x:f>
        <x:v>1</x:v>
      </x:c>
      <x:c r="Q41" s="54" t="n">
        <x:f>SUMIF('V2_Units'!$A$4:$A$13,$A41,'V2_Units'!$AD$4:$AD$13)*(L41/MAX(0.01,SUMIF('V2_Units'!$A$4:$A$13,$A41,'V2_Units'!$K$4:$K$13)))*M41*N41*O41*P41</x:f>
        <x:v>0.8139527504114126</x:v>
      </x:c>
      <x:c r="R41" s="54" t="n">
        <x:f>Q41-SUMIF('V2_Units'!$A$4:$A$13,$A41,'V2_Units'!$AD$4:$AD$13)</x:f>
        <x:v>-0.19212224958858748</x:v>
      </x:c>
      <x:c r="S41" s="51" t="str">
        <x:f>IF(Q41&gt;'V2_Parameters'!$B$15,"OVER",IF(Q41&lt;'V2_Parameters'!$B$14,"UNDER","OK"))&amp;" | "&amp;IF(P41&gt;1,"role-fit","base")</x:f>
        <x:v>UNDER | base</x:v>
      </x:c>
    </x:row>
    <x:row r="42">
      <x:c r="A42" t="str">
        <x:v>Zergling</x:v>
      </x:c>
      <x:c r="B42" t="str">
        <x:v>Narrow Choke — Melee</x:v>
      </x:c>
      <x:c r="C42" t="str">
        <x:f>VLOOKUP($A42,'V2_Units'!$A$4:$B$13,2,FALSE)</x:f>
        <x:v>Swarm</x:v>
      </x:c>
      <x:c r="D42" s="16" t="n">
        <x:f>SUMIF('V2_Scenarios'!$A$4:$A$12,$B42,'V2_Scenarios'!$C$4:$C$12)</x:f>
        <x:v>0.35</x:v>
      </x:c>
      <x:c r="E42" s="16" t="n">
        <x:f>SUMIF('V2_Scenarios'!$A$4:$A$12,$B42,'V2_Scenarios'!$D$4:$D$12)</x:f>
        <x:v>0.1</x:v>
      </x:c>
      <x:c r="F42" s="16" t="n">
        <x:f>SUMIF('V2_Scenarios'!$A$4:$A$12,$B42,'V2_Scenarios'!$E$4:$E$12)</x:f>
        <x:v>0.85</x:v>
      </x:c>
      <x:c r="G42" s="16" t="n">
        <x:f>SUMIF('V2_Scenarios'!$A$4:$A$12,$B42,'V2_Scenarios'!$F$4:$F$12)</x:f>
        <x:v>0.85</x:v>
      </x:c>
      <x:c r="H42" s="16" t="n">
        <x:f>SUMIF('V2_Scenarios'!$A$4:$A$12,$B42,'V2_Scenarios'!$G$4:$G$12)</x:f>
        <x:v>0.25</x:v>
      </x:c>
      <x:c r="I42" s="16" t="n">
        <x:f>SUMIF('V2_Scenarios'!$A$4:$A$12,$B42,'V2_Scenarios'!$H$4:$H$12)</x:f>
        <x:v>0.4</x:v>
      </x:c>
      <x:c r="J42" s="16" t="n">
        <x:f>SUMIF('V2_Scenarios'!$A$4:$A$12,$B42,'V2_Scenarios'!$I$4:$I$12)</x:f>
        <x:v>0.45</x:v>
      </x:c>
      <x:c r="K42" s="16" t="n">
        <x:f>SUMIF('V2_Units'!$A$4:$A$13,$A42,'V2_Units'!$W$4:$W$13)</x:f>
        <x:v>35</x:v>
      </x:c>
      <x:c r="L42" s="16" t="n">
        <x:f>(SUMIF('V2_Units'!$A$4:$A$13,$A42,'V2_Units'!$K$4:$K$13)*(1-E42)+SUMIF('V2_Units'!$A$4:$A$13,$A42,'V2_Units'!$L$4:$L$13)*E42+SUMIF('V2_Units'!$A$4:$A$13,$A42,'V2_Units'!$O$4:$O$13)*D42)*(1-0.15*J42)</x:f>
        <x:v>8.3925</x:v>
      </x:c>
      <x:c r="M42" s="16" t="n">
        <x:f>1-G42*SUMIF('V2_Units'!$A$4:$A$13,$A42,'V2_Units'!$Q$4:$Q$13)</x:f>
        <x:v>0.898</x:v>
      </x:c>
      <x:c r="N42" s="16" t="n">
        <x:f>1+(SUMIF('V2_Units'!$A$4:$A$13,$A42,'V2_Units'!$P$4:$P$13)-1)*F42*(1-H42)</x:f>
        <x:v>1</x:v>
      </x:c>
      <x:c r="O42" s="16" t="n">
        <x:f>1+SUMIF('V2_Units'!$A$4:$A$13,$A42,'V2_Units'!$R$4:$R$13)*SUMIF('V2_Units'!$A$4:$A$13,$A42,'V2_Units'!$S$4:$S$13)*(1-I42)</x:f>
        <x:v>1.027</x:v>
      </x:c>
      <x:c r="P42" s="16" t="n">
        <x:f>IF(OR(AND($C42="Anti-Armor",D42&gt;=0.5),AND($C42="Premium Anti-Armor",D42&gt;=0.5),AND($C42="Ranged DPS",E42&gt;=0.5),AND($C42="Mobile General",J42&gt;=0.6),AND($C42="Siege / AOE",OR($B42="Tank Line",$B42="High-Ground Defense",$B42="Narrow Choke — Ranged")),AND($C42="Premium AOE",F42&gt;=0.7),AND($C42="Swarm",F42&gt;=0.7),AND($C42="Frontline",G42&gt;=0.7)),1.12,1.00)</x:f>
        <x:v>1.12</x:v>
      </x:c>
      <x:c r="Q42" s="54" t="n">
        <x:f>SUMIF('V2_Units'!$A$4:$A$13,$A42,'V2_Units'!$AD$4:$AD$13)*(L42/MAX(0.01,SUMIF('V2_Units'!$A$4:$A$13,$A42,'V2_Units'!$K$4:$K$13)))*M42*N42*O42*P42</x:f>
        <x:v>0.872140611837222</x:v>
      </x:c>
      <x:c r="R42" s="54" t="n">
        <x:f>Q42-SUMIF('V2_Units'!$A$4:$A$13,$A42,'V2_Units'!$AD$4:$AD$13)</x:f>
        <x:v>-0.13393438816277803</x:v>
      </x:c>
      <x:c r="S42" s="51" t="str">
        <x:f>IF(Q42&gt;'V2_Parameters'!$B$15,"OVER",IF(Q42&lt;'V2_Parameters'!$B$14,"UNDER","OK"))&amp;" | "&amp;IF(P42&gt;1,"role-fit","base")</x:f>
        <x:v>UNDER | role-fit</x:v>
      </x:c>
    </x:row>
    <x:row r="43">
      <x:c r="A43" t="str">
        <x:v>Zergling</x:v>
      </x:c>
      <x:c r="B43" t="str">
        <x:v>Narrow Choke — Ranged</x:v>
      </x:c>
      <x:c r="C43" t="str">
        <x:f>VLOOKUP($A43,'V2_Units'!$A$4:$B$13,2,FALSE)</x:f>
        <x:v>Swarm</x:v>
      </x:c>
      <x:c r="D43" s="16" t="n">
        <x:f>SUMIF('V2_Scenarios'!$A$4:$A$12,$B43,'V2_Scenarios'!$C$4:$C$12)</x:f>
        <x:v>0.5</x:v>
      </x:c>
      <x:c r="E43" s="16" t="n">
        <x:f>SUMIF('V2_Scenarios'!$A$4:$A$12,$B43,'V2_Scenarios'!$D$4:$D$12)</x:f>
        <x:v>0.2</x:v>
      </x:c>
      <x:c r="F43" s="16" t="n">
        <x:f>SUMIF('V2_Scenarios'!$A$4:$A$12,$B43,'V2_Scenarios'!$E$4:$E$12)</x:f>
        <x:v>0.75</x:v>
      </x:c>
      <x:c r="G43" s="16" t="n">
        <x:f>SUMIF('V2_Scenarios'!$A$4:$A$12,$B43,'V2_Scenarios'!$F$4:$F$12)</x:f>
        <x:v>0.8</x:v>
      </x:c>
      <x:c r="H43" s="16" t="n">
        <x:f>SUMIF('V2_Scenarios'!$A$4:$A$12,$B43,'V2_Scenarios'!$G$4:$G$12)</x:f>
        <x:v>0.3</x:v>
      </x:c>
      <x:c r="I43" s="16" t="n">
        <x:f>SUMIF('V2_Scenarios'!$A$4:$A$12,$B43,'V2_Scenarios'!$H$4:$H$12)</x:f>
        <x:v>0.35</x:v>
      </x:c>
      <x:c r="J43" s="16" t="n">
        <x:f>SUMIF('V2_Scenarios'!$A$4:$A$12,$B43,'V2_Scenarios'!$I$4:$I$12)</x:f>
        <x:v>0.35</x:v>
      </x:c>
      <x:c r="K43" s="16" t="n">
        <x:f>SUMIF('V2_Units'!$A$4:$A$13,$A43,'V2_Units'!$W$4:$W$13)</x:f>
        <x:v>35</x:v>
      </x:c>
      <x:c r="L43" s="16" t="n">
        <x:f>(SUMIF('V2_Units'!$A$4:$A$13,$A43,'V2_Units'!$K$4:$K$13)*(1-E43)+SUMIF('V2_Units'!$A$4:$A$13,$A43,'V2_Units'!$L$4:$L$13)*E43+SUMIF('V2_Units'!$A$4:$A$13,$A43,'V2_Units'!$O$4:$O$13)*D43)*(1-0.15*J43)</x:f>
        <x:v>7.58</x:v>
      </x:c>
      <x:c r="M43" s="16" t="n">
        <x:f>1-G43*SUMIF('V2_Units'!$A$4:$A$13,$A43,'V2_Units'!$Q$4:$Q$13)</x:f>
        <x:v>0.904</x:v>
      </x:c>
      <x:c r="N43" s="16" t="n">
        <x:f>1+(SUMIF('V2_Units'!$A$4:$A$13,$A43,'V2_Units'!$P$4:$P$13)-1)*F43*(1-H43)</x:f>
        <x:v>1</x:v>
      </x:c>
      <x:c r="O43" s="16" t="n">
        <x:f>1+SUMIF('V2_Units'!$A$4:$A$13,$A43,'V2_Units'!$R$4:$R$13)*SUMIF('V2_Units'!$A$4:$A$13,$A43,'V2_Units'!$S$4:$S$13)*(1-I43)</x:f>
        <x:v>1.02925</x:v>
      </x:c>
      <x:c r="P43" s="16" t="n">
        <x:f>IF(OR(AND($C43="Anti-Armor",D43&gt;=0.5),AND($C43="Premium Anti-Armor",D43&gt;=0.5),AND($C43="Ranged DPS",E43&gt;=0.5),AND($C43="Mobile General",J43&gt;=0.6),AND($C43="Siege / AOE",OR($B43="Tank Line",$B43="High-Ground Defense",$B43="Narrow Choke — Ranged")),AND($C43="Premium AOE",F43&gt;=0.7),AND($C43="Swarm",F43&gt;=0.7),AND($C43="Frontline",G43&gt;=0.7)),1.12,1.00)</x:f>
        <x:v>1.12</x:v>
      </x:c>
      <x:c r="Q43" s="54" t="n">
        <x:f>SUMIF('V2_Units'!$A$4:$A$13,$A43,'V2_Units'!$AD$4:$AD$13)*(L43/MAX(0.01,SUMIF('V2_Units'!$A$4:$A$13,$A43,'V2_Units'!$K$4:$K$13)))*M43*N43*O43*P43</x:f>
        <x:v>0.7947067316649441</x:v>
      </x:c>
      <x:c r="R43" s="54" t="n">
        <x:f>Q43-SUMIF('V2_Units'!$A$4:$A$13,$A43,'V2_Units'!$AD$4:$AD$13)</x:f>
        <x:v>-0.21136826833505595</x:v>
      </x:c>
      <x:c r="S43" s="51" t="str">
        <x:f>IF(Q43&gt;'V2_Parameters'!$B$15,"OVER",IF(Q43&lt;'V2_Parameters'!$B$14,"UNDER","OK"))&amp;" | "&amp;IF(P43&gt;1,"role-fit","base")</x:f>
        <x:v>UNDER | role-fit</x:v>
      </x:c>
    </x:row>
    <x:row r="44">
      <x:c r="A44" t="str">
        <x:v>Zergling</x:v>
      </x:c>
      <x:c r="B44" t="str">
        <x:v>Tank Line</x:v>
      </x:c>
      <x:c r="C44" t="str">
        <x:f>VLOOKUP($A44,'V2_Units'!$A$4:$B$13,2,FALSE)</x:f>
        <x:v>Swarm</x:v>
      </x:c>
      <x:c r="D44" s="16" t="n">
        <x:f>SUMIF('V2_Scenarios'!$A$4:$A$12,$B44,'V2_Scenarios'!$C$4:$C$12)</x:f>
        <x:v>0.65</x:v>
      </x:c>
      <x:c r="E44" s="16" t="n">
        <x:f>SUMIF('V2_Scenarios'!$A$4:$A$12,$B44,'V2_Scenarios'!$D$4:$D$12)</x:f>
        <x:v>0.15</x:v>
      </x:c>
      <x:c r="F44" s="16" t="n">
        <x:f>SUMIF('V2_Scenarios'!$A$4:$A$12,$B44,'V2_Scenarios'!$E$4:$E$12)</x:f>
        <x:v>0.9</x:v>
      </x:c>
      <x:c r="G44" s="16" t="n">
        <x:f>SUMIF('V2_Scenarios'!$A$4:$A$12,$B44,'V2_Scenarios'!$F$4:$F$12)</x:f>
        <x:v>0.75</x:v>
      </x:c>
      <x:c r="H44" s="16" t="n">
        <x:f>SUMIF('V2_Scenarios'!$A$4:$A$12,$B44,'V2_Scenarios'!$G$4:$G$12)</x:f>
        <x:v>0.35</x:v>
      </x:c>
      <x:c r="I44" s="16" t="n">
        <x:f>SUMIF('V2_Scenarios'!$A$4:$A$12,$B44,'V2_Scenarios'!$H$4:$H$12)</x:f>
        <x:v>0.3</x:v>
      </x:c>
      <x:c r="J44" s="16" t="n">
        <x:f>SUMIF('V2_Scenarios'!$A$4:$A$12,$B44,'V2_Scenarios'!$I$4:$I$12)</x:f>
        <x:v>0.6</x:v>
      </x:c>
      <x:c r="K44" s="16" t="n">
        <x:f>SUMIF('V2_Units'!$A$4:$A$13,$A44,'V2_Units'!$W$4:$W$13)</x:f>
        <x:v>35</x:v>
      </x:c>
      <x:c r="L44" s="16" t="n">
        <x:f>(SUMIF('V2_Units'!$A$4:$A$13,$A44,'V2_Units'!$K$4:$K$13)*(1-E44)+SUMIF('V2_Units'!$A$4:$A$13,$A44,'V2_Units'!$L$4:$L$13)*E44+SUMIF('V2_Units'!$A$4:$A$13,$A44,'V2_Units'!$O$4:$O$13)*D44)*(1-0.15*J44)</x:f>
        <x:v>7.735</x:v>
      </x:c>
      <x:c r="M44" s="16" t="n">
        <x:f>1-G44*SUMIF('V2_Units'!$A$4:$A$13,$A44,'V2_Units'!$Q$4:$Q$13)</x:f>
        <x:v>0.91</x:v>
      </x:c>
      <x:c r="N44" s="16" t="n">
        <x:f>1+(SUMIF('V2_Units'!$A$4:$A$13,$A44,'V2_Units'!$P$4:$P$13)-1)*F44*(1-H44)</x:f>
        <x:v>1</x:v>
      </x:c>
      <x:c r="O44" s="16" t="n">
        <x:f>1+SUMIF('V2_Units'!$A$4:$A$13,$A44,'V2_Units'!$R$4:$R$13)*SUMIF('V2_Units'!$A$4:$A$13,$A44,'V2_Units'!$S$4:$S$13)*(1-I44)</x:f>
        <x:v>1.0315</x:v>
      </x:c>
      <x:c r="P44" s="16" t="n">
        <x:f>IF(OR(AND($C44="Anti-Armor",D44&gt;=0.5),AND($C44="Premium Anti-Armor",D44&gt;=0.5),AND($C44="Ranged DPS",E44&gt;=0.5),AND($C44="Mobile General",J44&gt;=0.6),AND($C44="Siege / AOE",OR($B44="Tank Line",$B44="High-Ground Defense",$B44="Narrow Choke — Ranged")),AND($C44="Premium AOE",F44&gt;=0.7),AND($C44="Swarm",F44&gt;=0.7),AND($C44="Frontline",G44&gt;=0.7)),1.12,1.00)</x:f>
        <x:v>1.12</x:v>
      </x:c>
      <x:c r="Q44" s="54" t="n">
        <x:f>SUMIF('V2_Units'!$A$4:$A$13,$A44,'V2_Units'!$AD$4:$AD$13)*(L44/MAX(0.01,SUMIF('V2_Units'!$A$4:$A$13,$A44,'V2_Units'!$K$4:$K$13)))*M44*N44*O44*P44</x:f>
        <x:v>0.8181243571965103</x:v>
      </x:c>
      <x:c r="R44" s="54" t="n">
        <x:f>Q44-SUMIF('V2_Units'!$A$4:$A$13,$A44,'V2_Units'!$AD$4:$AD$13)</x:f>
        <x:v>-0.18795064280348972</x:v>
      </x:c>
      <x:c r="S44" s="51" t="str">
        <x:f>IF(Q44&gt;'V2_Parameters'!$B$15,"OVER",IF(Q44&lt;'V2_Parameters'!$B$14,"UNDER","OK"))&amp;" | "&amp;IF(P44&gt;1,"role-fit","base")</x:f>
        <x:v>UNDER | role-fit</x:v>
      </x:c>
    </x:row>
    <x:row r="45">
      <x:c r="A45" t="str">
        <x:v>Zergling</x:v>
      </x:c>
      <x:c r="B45" t="str">
        <x:v>Massive Swarm</x:v>
      </x:c>
      <x:c r="C45" t="str">
        <x:f>VLOOKUP($A45,'V2_Units'!$A$4:$B$13,2,FALSE)</x:f>
        <x:v>Swarm</x:v>
      </x:c>
      <x:c r="D45" s="16" t="n">
        <x:f>SUMIF('V2_Scenarios'!$A$4:$A$12,$B45,'V2_Scenarios'!$C$4:$C$12)</x:f>
        <x:v>0.2</x:v>
      </x:c>
      <x:c r="E45" s="16" t="n">
        <x:f>SUMIF('V2_Scenarios'!$A$4:$A$12,$B45,'V2_Scenarios'!$D$4:$D$12)</x:f>
        <x:v>0.1</x:v>
      </x:c>
      <x:c r="F45" s="16" t="n">
        <x:f>SUMIF('V2_Scenarios'!$A$4:$A$12,$B45,'V2_Scenarios'!$E$4:$E$12)</x:f>
        <x:v>0.95</x:v>
      </x:c>
      <x:c r="G45" s="16" t="n">
        <x:f>SUMIF('V2_Scenarios'!$A$4:$A$12,$B45,'V2_Scenarios'!$F$4:$F$12)</x:f>
        <x:v>0.35</x:v>
      </x:c>
      <x:c r="H45" s="16" t="n">
        <x:f>SUMIF('V2_Scenarios'!$A$4:$A$12,$B45,'V2_Scenarios'!$G$4:$G$12)</x:f>
        <x:v>0.2</x:v>
      </x:c>
      <x:c r="I45" s="16" t="n">
        <x:f>SUMIF('V2_Scenarios'!$A$4:$A$12,$B45,'V2_Scenarios'!$H$4:$H$12)</x:f>
        <x:v>0.3</x:v>
      </x:c>
      <x:c r="J45" s="16" t="n">
        <x:f>SUMIF('V2_Scenarios'!$A$4:$A$12,$B45,'V2_Scenarios'!$I$4:$I$12)</x:f>
        <x:v>0.4</x:v>
      </x:c>
      <x:c r="K45" s="16" t="n">
        <x:f>SUMIF('V2_Units'!$A$4:$A$13,$A45,'V2_Units'!$W$4:$W$13)</x:f>
        <x:v>35</x:v>
      </x:c>
      <x:c r="L45" s="16" t="n">
        <x:f>(SUMIF('V2_Units'!$A$4:$A$13,$A45,'V2_Units'!$K$4:$K$13)*(1-E45)+SUMIF('V2_Units'!$A$4:$A$13,$A45,'V2_Units'!$L$4:$L$13)*E45+SUMIF('V2_Units'!$A$4:$A$13,$A45,'V2_Units'!$O$4:$O$13)*D45)*(1-0.15*J45)</x:f>
        <x:v>8.459999999999999</x:v>
      </x:c>
      <x:c r="M45" s="16" t="n">
        <x:f>1-G45*SUMIF('V2_Units'!$A$4:$A$13,$A45,'V2_Units'!$Q$4:$Q$13)</x:f>
        <x:v>0.958</x:v>
      </x:c>
      <x:c r="N45" s="16" t="n">
        <x:f>1+(SUMIF('V2_Units'!$A$4:$A$13,$A45,'V2_Units'!$P$4:$P$13)-1)*F45*(1-H45)</x:f>
        <x:v>1</x:v>
      </x:c>
      <x:c r="O45" s="16" t="n">
        <x:f>1+SUMIF('V2_Units'!$A$4:$A$13,$A45,'V2_Units'!$R$4:$R$13)*SUMIF('V2_Units'!$A$4:$A$13,$A45,'V2_Units'!$S$4:$S$13)*(1-I45)</x:f>
        <x:v>1.0315</x:v>
      </x:c>
      <x:c r="P45" s="16" t="n">
        <x:f>IF(OR(AND($C45="Anti-Armor",D45&gt;=0.5),AND($C45="Premium Anti-Armor",D45&gt;=0.5),AND($C45="Ranged DPS",E45&gt;=0.5),AND($C45="Mobile General",J45&gt;=0.6),AND($C45="Siege / AOE",OR($B45="Tank Line",$B45="High-Ground Defense",$B45="Narrow Choke — Ranged")),AND($C45="Premium AOE",F45&gt;=0.7),AND($C45="Swarm",F45&gt;=0.7),AND($C45="Frontline",G45&gt;=0.7)),1.12,1.00)</x:f>
        <x:v>1.12</x:v>
      </x:c>
      <x:c r="Q45" s="54" t="n">
        <x:f>SUMIF('V2_Units'!$A$4:$A$13,$A45,'V2_Units'!$AD$4:$AD$13)*(L45/MAX(0.01,SUMIF('V2_Units'!$A$4:$A$13,$A45,'V2_Units'!$K$4:$K$13)))*M45*N45*O45*P45</x:f>
        <x:v>0.942005599676568</x:v>
      </x:c>
      <x:c r="R45" s="54" t="n">
        <x:f>Q45-SUMIF('V2_Units'!$A$4:$A$13,$A45,'V2_Units'!$AD$4:$AD$13)</x:f>
        <x:v>-0.064069400323432</x:v>
      </x:c>
      <x:c r="S45" s="51" t="str">
        <x:f>IF(Q45&gt;'V2_Parameters'!$B$15,"OVER",IF(Q45&lt;'V2_Parameters'!$B$14,"UNDER","OK"))&amp;" | "&amp;IF(P45&gt;1,"role-fit","base")</x:f>
        <x:v>OK | role-fit</x:v>
      </x:c>
    </x:row>
    <x:row r="46">
      <x:c r="A46" t="str">
        <x:v>Zergling</x:v>
      </x:c>
      <x:c r="B46" t="str">
        <x:v>High-Ground Defense</x:v>
      </x:c>
      <x:c r="C46" t="str">
        <x:f>VLOOKUP($A46,'V2_Units'!$A$4:$B$13,2,FALSE)</x:f>
        <x:v>Swarm</x:v>
      </x:c>
      <x:c r="D46" s="16" t="n">
        <x:f>SUMIF('V2_Scenarios'!$A$4:$A$12,$B46,'V2_Scenarios'!$C$4:$C$12)</x:f>
        <x:v>0.55</x:v>
      </x:c>
      <x:c r="E46" s="16" t="n">
        <x:f>SUMIF('V2_Scenarios'!$A$4:$A$12,$B46,'V2_Scenarios'!$D$4:$D$12)</x:f>
        <x:v>0.15</x:v>
      </x:c>
      <x:c r="F46" s="16" t="n">
        <x:f>SUMIF('V2_Scenarios'!$A$4:$A$12,$B46,'V2_Scenarios'!$E$4:$E$12)</x:f>
        <x:v>0.7</x:v>
      </x:c>
      <x:c r="G46" s="16" t="n">
        <x:f>SUMIF('V2_Scenarios'!$A$4:$A$12,$B46,'V2_Scenarios'!$F$4:$F$12)</x:f>
        <x:v>0.55</x:v>
      </x:c>
      <x:c r="H46" s="16" t="n">
        <x:f>SUMIF('V2_Scenarios'!$A$4:$A$12,$B46,'V2_Scenarios'!$G$4:$G$12)</x:f>
        <x:v>0.5</x:v>
      </x:c>
      <x:c r="I46" s="16" t="n">
        <x:f>SUMIF('V2_Scenarios'!$A$4:$A$12,$B46,'V2_Scenarios'!$H$4:$H$12)</x:f>
        <x:v>0.3</x:v>
      </x:c>
      <x:c r="J46" s="16" t="n">
        <x:f>SUMIF('V2_Scenarios'!$A$4:$A$12,$B46,'V2_Scenarios'!$I$4:$I$12)</x:f>
        <x:v>0.55</x:v>
      </x:c>
      <x:c r="K46" s="16" t="n">
        <x:f>SUMIF('V2_Units'!$A$4:$A$13,$A46,'V2_Units'!$W$4:$W$13)</x:f>
        <x:v>35</x:v>
      </x:c>
      <x:c r="L46" s="16" t="n">
        <x:f>(SUMIF('V2_Units'!$A$4:$A$13,$A46,'V2_Units'!$K$4:$K$13)*(1-E46)+SUMIF('V2_Units'!$A$4:$A$13,$A46,'V2_Units'!$L$4:$L$13)*E46+SUMIF('V2_Units'!$A$4:$A$13,$A46,'V2_Units'!$O$4:$O$13)*D46)*(1-0.15*J46)</x:f>
        <x:v>7.79875</x:v>
      </x:c>
      <x:c r="M46" s="16" t="n">
        <x:f>1-G46*SUMIF('V2_Units'!$A$4:$A$13,$A46,'V2_Units'!$Q$4:$Q$13)</x:f>
        <x:v>0.9339999999999999</x:v>
      </x:c>
      <x:c r="N46" s="16" t="n">
        <x:f>1+(SUMIF('V2_Units'!$A$4:$A$13,$A46,'V2_Units'!$P$4:$P$13)-1)*F46*(1-H46)</x:f>
        <x:v>1</x:v>
      </x:c>
      <x:c r="O46" s="16" t="n">
        <x:f>1+SUMIF('V2_Units'!$A$4:$A$13,$A46,'V2_Units'!$R$4:$R$13)*SUMIF('V2_Units'!$A$4:$A$13,$A46,'V2_Units'!$S$4:$S$13)*(1-I46)</x:f>
        <x:v>1.0315</x:v>
      </x:c>
      <x:c r="P46" s="16" t="n">
        <x:f>IF(OR(AND($C46="Anti-Armor",D46&gt;=0.5),AND($C46="Premium Anti-Armor",D46&gt;=0.5),AND($C46="Ranged DPS",E46&gt;=0.5),AND($C46="Mobile General",J46&gt;=0.6),AND($C46="Siege / AOE",OR($B46="Tank Line",$B46="High-Ground Defense",$B46="Narrow Choke — Ranged")),AND($C46="Premium AOE",F46&gt;=0.7),AND($C46="Swarm",F46&gt;=0.7),AND($C46="Frontline",G46&gt;=0.7)),1.12,1.00)</x:f>
        <x:v>1.12</x:v>
      </x:c>
      <x:c r="Q46" s="54" t="n">
        <x:f>SUMIF('V2_Units'!$A$4:$A$13,$A46,'V2_Units'!$AD$4:$AD$13)*(L46/MAX(0.01,SUMIF('V2_Units'!$A$4:$A$13,$A46,'V2_Units'!$K$4:$K$13)))*M46*N46*O46*P46</x:f>
        <x:v>0.8466218781279595</x:v>
      </x:c>
      <x:c r="R46" s="54" t="n">
        <x:f>Q46-SUMIF('V2_Units'!$A$4:$A$13,$A46,'V2_Units'!$AD$4:$AD$13)</x:f>
        <x:v>-0.15945312187204053</x:v>
      </x:c>
      <x:c r="S46" s="51" t="str">
        <x:f>IF(Q46&gt;'V2_Parameters'!$B$15,"OVER",IF(Q46&lt;'V2_Parameters'!$B$14,"UNDER","OK"))&amp;" | "&amp;IF(P46&gt;1,"role-fit","base")</x:f>
        <x:v>UNDER | role-fit</x:v>
      </x:c>
    </x:row>
    <x:row r="47">
      <x:c r="A47" t="str">
        <x:v>Zergling</x:v>
      </x:c>
      <x:c r="B47" t="str">
        <x:v>Anti-Air Screen</x:v>
      </x:c>
      <x:c r="C47" t="str">
        <x:f>VLOOKUP($A47,'V2_Units'!$A$4:$B$13,2,FALSE)</x:f>
        <x:v>Swarm</x:v>
      </x:c>
      <x:c r="D47" s="16" t="n">
        <x:f>SUMIF('V2_Scenarios'!$A$4:$A$12,$B47,'V2_Scenarios'!$C$4:$C$12)</x:f>
        <x:v>0.2</x:v>
      </x:c>
      <x:c r="E47" s="16" t="n">
        <x:f>SUMIF('V2_Scenarios'!$A$4:$A$12,$B47,'V2_Scenarios'!$D$4:$D$12)</x:f>
        <x:v>0.8</x:v>
      </x:c>
      <x:c r="F47" s="16" t="n">
        <x:f>SUMIF('V2_Scenarios'!$A$4:$A$12,$B47,'V2_Scenarios'!$E$4:$E$12)</x:f>
        <x:v>0.6</x:v>
      </x:c>
      <x:c r="G47" s="16" t="n">
        <x:f>SUMIF('V2_Scenarios'!$A$4:$A$12,$B47,'V2_Scenarios'!$F$4:$F$12)</x:f>
        <x:v>0.45</x:v>
      </x:c>
      <x:c r="H47" s="16" t="n">
        <x:f>SUMIF('V2_Scenarios'!$A$4:$A$12,$B47,'V2_Scenarios'!$G$4:$G$12)</x:f>
        <x:v>0.55</x:v>
      </x:c>
      <x:c r="I47" s="16" t="n">
        <x:f>SUMIF('V2_Scenarios'!$A$4:$A$12,$B47,'V2_Scenarios'!$H$4:$H$12)</x:f>
        <x:v>0.25</x:v>
      </x:c>
      <x:c r="J47" s="16" t="n">
        <x:f>SUMIF('V2_Scenarios'!$A$4:$A$12,$B47,'V2_Scenarios'!$I$4:$I$12)</x:f>
        <x:v>0.45</x:v>
      </x:c>
      <x:c r="K47" s="16" t="n">
        <x:f>SUMIF('V2_Units'!$A$4:$A$13,$A47,'V2_Units'!$W$4:$W$13)</x:f>
        <x:v>35</x:v>
      </x:c>
      <x:c r="L47" s="16" t="n">
        <x:f>(SUMIF('V2_Units'!$A$4:$A$13,$A47,'V2_Units'!$K$4:$K$13)*(1-E47)+SUMIF('V2_Units'!$A$4:$A$13,$A47,'V2_Units'!$L$4:$L$13)*E47+SUMIF('V2_Units'!$A$4:$A$13,$A47,'V2_Units'!$O$4:$O$13)*D47)*(1-0.15*J47)</x:f>
        <x:v>1.8649999999999995</x:v>
      </x:c>
      <x:c r="M47" s="16" t="n">
        <x:f>1-G47*SUMIF('V2_Units'!$A$4:$A$13,$A47,'V2_Units'!$Q$4:$Q$13)</x:f>
        <x:v>0.946</x:v>
      </x:c>
      <x:c r="N47" s="16" t="n">
        <x:f>1+(SUMIF('V2_Units'!$A$4:$A$13,$A47,'V2_Units'!$P$4:$P$13)-1)*F47*(1-H47)</x:f>
        <x:v>1</x:v>
      </x:c>
      <x:c r="O47" s="16" t="n">
        <x:f>1+SUMIF('V2_Units'!$A$4:$A$13,$A47,'V2_Units'!$R$4:$R$13)*SUMIF('V2_Units'!$A$4:$A$13,$A47,'V2_Units'!$S$4:$S$13)*(1-I47)</x:f>
        <x:v>1.03375</x:v>
      </x:c>
      <x:c r="P47" s="16" t="n">
        <x:f>IF(OR(AND($C47="Anti-Armor",D47&gt;=0.5),AND($C47="Premium Anti-Armor",D47&gt;=0.5),AND($C47="Ranged DPS",E47&gt;=0.5),AND($C47="Mobile General",J47&gt;=0.6),AND($C47="Siege / AOE",OR($B47="Tank Line",$B47="High-Ground Defense",$B47="Narrow Choke — Ranged")),AND($C47="Premium AOE",F47&gt;=0.7),AND($C47="Swarm",F47&gt;=0.7),AND($C47="Frontline",G47&gt;=0.7)),1.12,1.00)</x:f>
        <x:v>1</x:v>
      </x:c>
      <x:c r="Q47" s="54" t="n">
        <x:f>SUMIF('V2_Units'!$A$4:$A$13,$A47,'V2_Units'!$AD$4:$AD$13)*(L47/MAX(0.01,SUMIF('V2_Units'!$A$4:$A$13,$A47,'V2_Units'!$K$4:$K$13)))*M47*N47*O47*P47</x:f>
        <x:v>0.1834914583834062</x:v>
      </x:c>
      <x:c r="R47" s="54" t="n">
        <x:f>Q47-SUMIF('V2_Units'!$A$4:$A$13,$A47,'V2_Units'!$AD$4:$AD$13)</x:f>
        <x:v>-0.8225835416165939</x:v>
      </x:c>
      <x:c r="S47" s="51" t="str">
        <x:f>IF(Q47&gt;'V2_Parameters'!$B$15,"OVER",IF(Q47&lt;'V2_Parameters'!$B$14,"UNDER","OK"))&amp;" | "&amp;IF(P47&gt;1,"role-fit","base")</x:f>
        <x:v>UNDER | base</x:v>
      </x:c>
    </x:row>
    <x:row r="48">
      <x:c r="A48" t="str">
        <x:v>Zergling</x:v>
      </x:c>
      <x:c r="B48" t="str">
        <x:v>Kite Scenario</x:v>
      </x:c>
      <x:c r="C48" t="str">
        <x:f>VLOOKUP($A48,'V2_Units'!$A$4:$B$13,2,FALSE)</x:f>
        <x:v>Swarm</x:v>
      </x:c>
      <x:c r="D48" s="16" t="n">
        <x:f>SUMIF('V2_Scenarios'!$A$4:$A$12,$B48,'V2_Scenarios'!$C$4:$C$12)</x:f>
        <x:v>0.25</x:v>
      </x:c>
      <x:c r="E48" s="16" t="n">
        <x:f>SUMIF('V2_Scenarios'!$A$4:$A$12,$B48,'V2_Scenarios'!$D$4:$D$12)</x:f>
        <x:v>0.2</x:v>
      </x:c>
      <x:c r="F48" s="16" t="n">
        <x:f>SUMIF('V2_Scenarios'!$A$4:$A$12,$B48,'V2_Scenarios'!$E$4:$E$12)</x:f>
        <x:v>0.55</x:v>
      </x:c>
      <x:c r="G48" s="16" t="n">
        <x:f>SUMIF('V2_Scenarios'!$A$4:$A$12,$B48,'V2_Scenarios'!$F$4:$F$12)</x:f>
        <x:v>0.3</x:v>
      </x:c>
      <x:c r="H48" s="16" t="n">
        <x:f>SUMIF('V2_Scenarios'!$A$4:$A$12,$B48,'V2_Scenarios'!$G$4:$G$12)</x:f>
        <x:v>0.65</x:v>
      </x:c>
      <x:c r="I48" s="16" t="n">
        <x:f>SUMIF('V2_Scenarios'!$A$4:$A$12,$B48,'V2_Scenarios'!$H$4:$H$12)</x:f>
        <x:v>0.45</x:v>
      </x:c>
      <x:c r="J48" s="16" t="n">
        <x:f>SUMIF('V2_Scenarios'!$A$4:$A$12,$B48,'V2_Scenarios'!$I$4:$I$12)</x:f>
        <x:v>0.8</x:v>
      </x:c>
      <x:c r="K48" s="16" t="n">
        <x:f>SUMIF('V2_Units'!$A$4:$A$13,$A48,'V2_Units'!$W$4:$W$13)</x:f>
        <x:v>35</x:v>
      </x:c>
      <x:c r="L48" s="16" t="n">
        <x:f>(SUMIF('V2_Units'!$A$4:$A$13,$A48,'V2_Units'!$K$4:$K$13)*(1-E48)+SUMIF('V2_Units'!$A$4:$A$13,$A48,'V2_Units'!$L$4:$L$13)*E48+SUMIF('V2_Units'!$A$4:$A$13,$A48,'V2_Units'!$O$4:$O$13)*D48)*(1-0.15*J48)</x:f>
        <x:v>7.04</x:v>
      </x:c>
      <x:c r="M48" s="16" t="n">
        <x:f>1-G48*SUMIF('V2_Units'!$A$4:$A$13,$A48,'V2_Units'!$Q$4:$Q$13)</x:f>
        <x:v>0.964</x:v>
      </x:c>
      <x:c r="N48" s="16" t="n">
        <x:f>1+(SUMIF('V2_Units'!$A$4:$A$13,$A48,'V2_Units'!$P$4:$P$13)-1)*F48*(1-H48)</x:f>
        <x:v>1</x:v>
      </x:c>
      <x:c r="O48" s="16" t="n">
        <x:f>1+SUMIF('V2_Units'!$A$4:$A$13,$A48,'V2_Units'!$R$4:$R$13)*SUMIF('V2_Units'!$A$4:$A$13,$A48,'V2_Units'!$S$4:$S$13)*(1-I48)</x:f>
        <x:v>1.02475</x:v>
      </x:c>
      <x:c r="P48" s="16" t="n">
        <x:f>IF(OR(AND($C48="Anti-Armor",D48&gt;=0.5),AND($C48="Premium Anti-Armor",D48&gt;=0.5),AND($C48="Ranged DPS",E48&gt;=0.5),AND($C48="Mobile General",J48&gt;=0.6),AND($C48="Siege / AOE",OR($B48="Tank Line",$B48="High-Ground Defense",$B48="Narrow Choke — Ranged")),AND($C48="Premium AOE",F48&gt;=0.7),AND($C48="Swarm",F48&gt;=0.7),AND($C48="Frontline",G48&gt;=0.7)),1.12,1.00)</x:f>
        <x:v>1</x:v>
      </x:c>
      <x:c r="Q48" s="54" t="n">
        <x:f>SUMIF('V2_Units'!$A$4:$A$13,$A48,'V2_Units'!$AD$4:$AD$13)*(L48/MAX(0.01,SUMIF('V2_Units'!$A$4:$A$13,$A48,'V2_Units'!$K$4:$K$13)))*M48*N48*O48*P48</x:f>
        <x:v>0.6996776113712001</x:v>
      </x:c>
      <x:c r="R48" s="54" t="n">
        <x:f>Q48-SUMIF('V2_Units'!$A$4:$A$13,$A48,'V2_Units'!$AD$4:$AD$13)</x:f>
        <x:v>-0.30639738862879995</x:v>
      </x:c>
      <x:c r="S48" s="51" t="str">
        <x:f>IF(Q48&gt;'V2_Parameters'!$B$15,"OVER",IF(Q48&lt;'V2_Parameters'!$B$14,"UNDER","OK"))&amp;" | "&amp;IF(P48&gt;1,"role-fit","base")</x:f>
        <x:v>UNDER | base</x:v>
      </x:c>
    </x:row>
    <x:row r="49">
      <x:c r="A49" t="str">
        <x:v>Roach</x:v>
      </x:c>
      <x:c r="B49" t="str">
        <x:v>Open Field — Light Mass</x:v>
      </x:c>
      <x:c r="C49" t="str">
        <x:f>VLOOKUP($A49,'V2_Units'!$A$4:$B$13,2,FALSE)</x:f>
        <x:v>Durable Assault</x:v>
      </x:c>
      <x:c r="D49" s="16" t="n">
        <x:f>SUMIF('V2_Scenarios'!$A$4:$A$12,$B49,'V2_Scenarios'!$C$4:$C$12)</x:f>
        <x:v>0.1</x:v>
      </x:c>
      <x:c r="E49" s="16" t="n">
        <x:f>SUMIF('V2_Scenarios'!$A$4:$A$12,$B49,'V2_Scenarios'!$D$4:$D$12)</x:f>
        <x:v>0.2</x:v>
      </x:c>
      <x:c r="F49" s="16" t="n">
        <x:f>SUMIF('V2_Scenarios'!$A$4:$A$12,$B49,'V2_Scenarios'!$E$4:$E$12)</x:f>
        <x:v>0.45</x:v>
      </x:c>
      <x:c r="G49" s="16" t="n">
        <x:f>SUMIF('V2_Scenarios'!$A$4:$A$12,$B49,'V2_Scenarios'!$F$4:$F$12)</x:f>
        <x:v>0.2</x:v>
      </x:c>
      <x:c r="H49" s="16" t="n">
        <x:f>SUMIF('V2_Scenarios'!$A$4:$A$12,$B49,'V2_Scenarios'!$G$4:$G$12)</x:f>
        <x:v>0.6</x:v>
      </x:c>
      <x:c r="I49" s="16" t="n">
        <x:f>SUMIF('V2_Scenarios'!$A$4:$A$12,$B49,'V2_Scenarios'!$H$4:$H$12)</x:f>
        <x:v>0.35</x:v>
      </x:c>
      <x:c r="J49" s="16" t="n">
        <x:f>SUMIF('V2_Scenarios'!$A$4:$A$12,$B49,'V2_Scenarios'!$I$4:$I$12)</x:f>
        <x:v>0.25</x:v>
      </x:c>
      <x:c r="K49" s="16" t="n">
        <x:f>SUMIF('V2_Units'!$A$4:$A$13,$A49,'V2_Units'!$W$4:$W$13)</x:f>
        <x:v>145</x:v>
      </x:c>
      <x:c r="L49" s="16" t="n">
        <x:f>(SUMIF('V2_Units'!$A$4:$A$13,$A49,'V2_Units'!$K$4:$K$13)*(1-E49)+SUMIF('V2_Units'!$A$4:$A$13,$A49,'V2_Units'!$L$4:$L$13)*E49+SUMIF('V2_Units'!$A$4:$A$13,$A49,'V2_Units'!$O$4:$O$13)*D49)*(1-0.15*J49)</x:f>
        <x:v>8.623999999999999</x:v>
      </x:c>
      <x:c r="M49" s="16" t="n">
        <x:f>1-G49*SUMIF('V2_Units'!$A$4:$A$13,$A49,'V2_Units'!$Q$4:$Q$13)</x:f>
        <x:v>0.9319999999999999</x:v>
      </x:c>
      <x:c r="N49" s="16" t="n">
        <x:f>1+(SUMIF('V2_Units'!$A$4:$A$13,$A49,'V2_Units'!$P$4:$P$13)-1)*F49*(1-H49)</x:f>
        <x:v>1</x:v>
      </x:c>
      <x:c r="O49" s="16" t="n">
        <x:f>1+SUMIF('V2_Units'!$A$4:$A$13,$A49,'V2_Units'!$R$4:$R$13)*SUMIF('V2_Units'!$A$4:$A$13,$A49,'V2_Units'!$S$4:$S$13)*(1-I49)</x:f>
        <x:v>1.01625</x:v>
      </x:c>
      <x:c r="P49" s="16" t="n">
        <x:f>IF(OR(AND($C49="Anti-Armor",D49&gt;=0.5),AND($C49="Premium Anti-Armor",D49&gt;=0.5),AND($C49="Ranged DPS",E49&gt;=0.5),AND($C49="Mobile General",J49&gt;=0.6),AND($C49="Siege / AOE",OR($B49="Tank Line",$B49="High-Ground Defense",$B49="Narrow Choke — Ranged")),AND($C49="Premium AOE",F49&gt;=0.7),AND($C49="Swarm",F49&gt;=0.7),AND($C49="Frontline",G49&gt;=0.7)),1.12,1.00)</x:f>
        <x:v>1</x:v>
      </x:c>
      <x:c r="Q49" s="54" t="n">
        <x:f>SUMIF('V2_Units'!$A$4:$A$13,$A49,'V2_Units'!$AD$4:$AD$13)*(L49/MAX(0.01,SUMIF('V2_Units'!$A$4:$A$13,$A49,'V2_Units'!$K$4:$K$13)))*M49*N49*O49*P49</x:f>
        <x:v>0.7317630430687498</x:v>
      </x:c>
      <x:c r="R49" s="54" t="n">
        <x:f>Q49-SUMIF('V2_Units'!$A$4:$A$13,$A49,'V2_Units'!$AD$4:$AD$13)</x:f>
        <x:v>-0.27161195693125006</x:v>
      </x:c>
      <x:c r="S49" s="51" t="str">
        <x:f>IF(Q49&gt;'V2_Parameters'!$B$15,"OVER",IF(Q49&lt;'V2_Parameters'!$B$14,"UNDER","OK"))&amp;" | "&amp;IF(P49&gt;1,"role-fit","base")</x:f>
        <x:v>UNDER | base</x:v>
      </x:c>
    </x:row>
    <x:row r="50">
      <x:c r="A50" t="str">
        <x:v>Roach</x:v>
      </x:c>
      <x:c r="B50" t="str">
        <x:v>Open Field — Armored</x:v>
      </x:c>
      <x:c r="C50" t="str">
        <x:f>VLOOKUP($A50,'V2_Units'!$A$4:$B$13,2,FALSE)</x:f>
        <x:v>Durable Assault</x:v>
      </x:c>
      <x:c r="D50" s="16" t="n">
        <x:f>SUMIF('V2_Scenarios'!$A$4:$A$12,$B50,'V2_Scenarios'!$C$4:$C$12)</x:f>
        <x:v>0.85</x:v>
      </x:c>
      <x:c r="E50" s="16" t="n">
        <x:f>SUMIF('V2_Scenarios'!$A$4:$A$12,$B50,'V2_Scenarios'!$D$4:$D$12)</x:f>
        <x:v>0.15</x:v>
      </x:c>
      <x:c r="F50" s="16" t="n">
        <x:f>SUMIF('V2_Scenarios'!$A$4:$A$12,$B50,'V2_Scenarios'!$E$4:$E$12)</x:f>
        <x:v>0.45</x:v>
      </x:c>
      <x:c r="G50" s="16" t="n">
        <x:f>SUMIF('V2_Scenarios'!$A$4:$A$12,$B50,'V2_Scenarios'!$F$4:$F$12)</x:f>
        <x:v>0.2</x:v>
      </x:c>
      <x:c r="H50" s="16" t="n">
        <x:f>SUMIF('V2_Scenarios'!$A$4:$A$12,$B50,'V2_Scenarios'!$G$4:$G$12)</x:f>
        <x:v>0.6</x:v>
      </x:c>
      <x:c r="I50" s="16" t="n">
        <x:f>SUMIF('V2_Scenarios'!$A$4:$A$12,$B50,'V2_Scenarios'!$H$4:$H$12)</x:f>
        <x:v>0.35</x:v>
      </x:c>
      <x:c r="J50" s="16" t="n">
        <x:f>SUMIF('V2_Scenarios'!$A$4:$A$12,$B50,'V2_Scenarios'!$I$4:$I$12)</x:f>
        <x:v>0.35</x:v>
      </x:c>
      <x:c r="K50" s="16" t="n">
        <x:f>SUMIF('V2_Units'!$A$4:$A$13,$A50,'V2_Units'!$W$4:$W$13)</x:f>
        <x:v>145</x:v>
      </x:c>
      <x:c r="L50" s="16" t="n">
        <x:f>(SUMIF('V2_Units'!$A$4:$A$13,$A50,'V2_Units'!$K$4:$K$13)*(1-E50)+SUMIF('V2_Units'!$A$4:$A$13,$A50,'V2_Units'!$L$4:$L$13)*E50+SUMIF('V2_Units'!$A$4:$A$13,$A50,'V2_Units'!$O$4:$O$13)*D50)*(1-0.15*J50)</x:f>
        <x:v>9.020199999999999</x:v>
      </x:c>
      <x:c r="M50" s="16" t="n">
        <x:f>1-G50*SUMIF('V2_Units'!$A$4:$A$13,$A50,'V2_Units'!$Q$4:$Q$13)</x:f>
        <x:v>0.9319999999999999</x:v>
      </x:c>
      <x:c r="N50" s="16" t="n">
        <x:f>1+(SUMIF('V2_Units'!$A$4:$A$13,$A50,'V2_Units'!$P$4:$P$13)-1)*F50*(1-H50)</x:f>
        <x:v>1</x:v>
      </x:c>
      <x:c r="O50" s="16" t="n">
        <x:f>1+SUMIF('V2_Units'!$A$4:$A$13,$A50,'V2_Units'!$R$4:$R$13)*SUMIF('V2_Units'!$A$4:$A$13,$A50,'V2_Units'!$S$4:$S$13)*(1-I50)</x:f>
        <x:v>1.01625</x:v>
      </x:c>
      <x:c r="P50" s="16" t="n">
        <x:f>IF(OR(AND($C50="Anti-Armor",D50&gt;=0.5),AND($C50="Premium Anti-Armor",D50&gt;=0.5),AND($C50="Ranged DPS",E50&gt;=0.5),AND($C50="Mobile General",J50&gt;=0.6),AND($C50="Siege / AOE",OR($B50="Tank Line",$B50="High-Ground Defense",$B50="Narrow Choke — Ranged")),AND($C50="Premium AOE",F50&gt;=0.7),AND($C50="Swarm",F50&gt;=0.7),AND($C50="Frontline",G50&gt;=0.7)),1.12,1.00)</x:f>
        <x:v>1</x:v>
      </x:c>
      <x:c r="Q50" s="54" t="n">
        <x:f>SUMIF('V2_Units'!$A$4:$A$13,$A50,'V2_Units'!$AD$4:$AD$13)*(L50/MAX(0.01,SUMIF('V2_Units'!$A$4:$A$13,$A50,'V2_Units'!$K$4:$K$13)))*M50*N50*O50*P50</x:f>
        <x:v>0.7653813776772657</x:v>
      </x:c>
      <x:c r="R50" s="54" t="n">
        <x:f>Q50-SUMIF('V2_Units'!$A$4:$A$13,$A50,'V2_Units'!$AD$4:$AD$13)</x:f>
        <x:v>-0.23799362232273424</x:v>
      </x:c>
      <x:c r="S50" s="51" t="str">
        <x:f>IF(Q50&gt;'V2_Parameters'!$B$15,"OVER",IF(Q50&lt;'V2_Parameters'!$B$14,"UNDER","OK"))&amp;" | "&amp;IF(P50&gt;1,"role-fit","base")</x:f>
        <x:v>UNDER | base</x:v>
      </x:c>
    </x:row>
    <x:row r="51">
      <x:c r="A51" t="str">
        <x:v>Roach</x:v>
      </x:c>
      <x:c r="B51" t="str">
        <x:v>Narrow Choke — Melee</x:v>
      </x:c>
      <x:c r="C51" t="str">
        <x:f>VLOOKUP($A51,'V2_Units'!$A$4:$B$13,2,FALSE)</x:f>
        <x:v>Durable Assault</x:v>
      </x:c>
      <x:c r="D51" s="16" t="n">
        <x:f>SUMIF('V2_Scenarios'!$A$4:$A$12,$B51,'V2_Scenarios'!$C$4:$C$12)</x:f>
        <x:v>0.35</x:v>
      </x:c>
      <x:c r="E51" s="16" t="n">
        <x:f>SUMIF('V2_Scenarios'!$A$4:$A$12,$B51,'V2_Scenarios'!$D$4:$D$12)</x:f>
        <x:v>0.1</x:v>
      </x:c>
      <x:c r="F51" s="16" t="n">
        <x:f>SUMIF('V2_Scenarios'!$A$4:$A$12,$B51,'V2_Scenarios'!$E$4:$E$12)</x:f>
        <x:v>0.85</x:v>
      </x:c>
      <x:c r="G51" s="16" t="n">
        <x:f>SUMIF('V2_Scenarios'!$A$4:$A$12,$B51,'V2_Scenarios'!$F$4:$F$12)</x:f>
        <x:v>0.85</x:v>
      </x:c>
      <x:c r="H51" s="16" t="n">
        <x:f>SUMIF('V2_Scenarios'!$A$4:$A$12,$B51,'V2_Scenarios'!$G$4:$G$12)</x:f>
        <x:v>0.25</x:v>
      </x:c>
      <x:c r="I51" s="16" t="n">
        <x:f>SUMIF('V2_Scenarios'!$A$4:$A$12,$B51,'V2_Scenarios'!$H$4:$H$12)</x:f>
        <x:v>0.4</x:v>
      </x:c>
      <x:c r="J51" s="16" t="n">
        <x:f>SUMIF('V2_Scenarios'!$A$4:$A$12,$B51,'V2_Scenarios'!$I$4:$I$12)</x:f>
        <x:v>0.45</x:v>
      </x:c>
      <x:c r="K51" s="16" t="n">
        <x:f>SUMIF('V2_Units'!$A$4:$A$13,$A51,'V2_Units'!$W$4:$W$13)</x:f>
        <x:v>145</x:v>
      </x:c>
      <x:c r="L51" s="16" t="n">
        <x:f>(SUMIF('V2_Units'!$A$4:$A$13,$A51,'V2_Units'!$K$4:$K$13)*(1-E51)+SUMIF('V2_Units'!$A$4:$A$13,$A51,'V2_Units'!$L$4:$L$13)*E51+SUMIF('V2_Units'!$A$4:$A$13,$A51,'V2_Units'!$O$4:$O$13)*D51)*(1-0.15*J51)</x:f>
        <x:v>9.3996</x:v>
      </x:c>
      <x:c r="M51" s="16" t="n">
        <x:f>1-G51*SUMIF('V2_Units'!$A$4:$A$13,$A51,'V2_Units'!$Q$4:$Q$13)</x:f>
        <x:v>0.711</x:v>
      </x:c>
      <x:c r="N51" s="16" t="n">
        <x:f>1+(SUMIF('V2_Units'!$A$4:$A$13,$A51,'V2_Units'!$P$4:$P$13)-1)*F51*(1-H51)</x:f>
        <x:v>1</x:v>
      </x:c>
      <x:c r="O51" s="16" t="n">
        <x:f>1+SUMIF('V2_Units'!$A$4:$A$13,$A51,'V2_Units'!$R$4:$R$13)*SUMIF('V2_Units'!$A$4:$A$13,$A51,'V2_Units'!$S$4:$S$13)*(1-I51)</x:f>
        <x:v>1.015</x:v>
      </x:c>
      <x:c r="P51" s="16" t="n">
        <x:f>IF(OR(AND($C51="Anti-Armor",D51&gt;=0.5),AND($C51="Premium Anti-Armor",D51&gt;=0.5),AND($C51="Ranged DPS",E51&gt;=0.5),AND($C51="Mobile General",J51&gt;=0.6),AND($C51="Siege / AOE",OR($B51="Tank Line",$B51="High-Ground Defense",$B51="Narrow Choke — Ranged")),AND($C51="Premium AOE",F51&gt;=0.7),AND($C51="Swarm",F51&gt;=0.7),AND($C51="Frontline",G51&gt;=0.7)),1.12,1.00)</x:f>
        <x:v>1</x:v>
      </x:c>
      <x:c r="Q51" s="54" t="n">
        <x:f>SUMIF('V2_Units'!$A$4:$A$13,$A51,'V2_Units'!$AD$4:$AD$13)*(L51/MAX(0.01,SUMIF('V2_Units'!$A$4:$A$13,$A51,'V2_Units'!$K$4:$K$13)))*M51*N51*O51*P51</x:f>
        <x:v>0.6077014448104686</x:v>
      </x:c>
      <x:c r="R51" s="54" t="n">
        <x:f>Q51-SUMIF('V2_Units'!$A$4:$A$13,$A51,'V2_Units'!$AD$4:$AD$13)</x:f>
        <x:v>-0.3956735551895313</x:v>
      </x:c>
      <x:c r="S51" s="51" t="str">
        <x:f>IF(Q51&gt;'V2_Parameters'!$B$15,"OVER",IF(Q51&lt;'V2_Parameters'!$B$14,"UNDER","OK"))&amp;" | "&amp;IF(P51&gt;1,"role-fit","base")</x:f>
        <x:v>UNDER | base</x:v>
      </x:c>
    </x:row>
    <x:row r="52">
      <x:c r="A52" t="str">
        <x:v>Roach</x:v>
      </x:c>
      <x:c r="B52" t="str">
        <x:v>Narrow Choke — Ranged</x:v>
      </x:c>
      <x:c r="C52" t="str">
        <x:f>VLOOKUP($A52,'V2_Units'!$A$4:$B$13,2,FALSE)</x:f>
        <x:v>Durable Assault</x:v>
      </x:c>
      <x:c r="D52" s="16" t="n">
        <x:f>SUMIF('V2_Scenarios'!$A$4:$A$12,$B52,'V2_Scenarios'!$C$4:$C$12)</x:f>
        <x:v>0.5</x:v>
      </x:c>
      <x:c r="E52" s="16" t="n">
        <x:f>SUMIF('V2_Scenarios'!$A$4:$A$12,$B52,'V2_Scenarios'!$D$4:$D$12)</x:f>
        <x:v>0.2</x:v>
      </x:c>
      <x:c r="F52" s="16" t="n">
        <x:f>SUMIF('V2_Scenarios'!$A$4:$A$12,$B52,'V2_Scenarios'!$E$4:$E$12)</x:f>
        <x:v>0.75</x:v>
      </x:c>
      <x:c r="G52" s="16" t="n">
        <x:f>SUMIF('V2_Scenarios'!$A$4:$A$12,$B52,'V2_Scenarios'!$F$4:$F$12)</x:f>
        <x:v>0.8</x:v>
      </x:c>
      <x:c r="H52" s="16" t="n">
        <x:f>SUMIF('V2_Scenarios'!$A$4:$A$12,$B52,'V2_Scenarios'!$G$4:$G$12)</x:f>
        <x:v>0.3</x:v>
      </x:c>
      <x:c r="I52" s="16" t="n">
        <x:f>SUMIF('V2_Scenarios'!$A$4:$A$12,$B52,'V2_Scenarios'!$H$4:$H$12)</x:f>
        <x:v>0.35</x:v>
      </x:c>
      <x:c r="J52" s="16" t="n">
        <x:f>SUMIF('V2_Scenarios'!$A$4:$A$12,$B52,'V2_Scenarios'!$I$4:$I$12)</x:f>
        <x:v>0.35</x:v>
      </x:c>
      <x:c r="K52" s="16" t="n">
        <x:f>SUMIF('V2_Units'!$A$4:$A$13,$A52,'V2_Units'!$W$4:$W$13)</x:f>
        <x:v>145</x:v>
      </x:c>
      <x:c r="L52" s="16" t="n">
        <x:f>(SUMIF('V2_Units'!$A$4:$A$13,$A52,'V2_Units'!$K$4:$K$13)*(1-E52)+SUMIF('V2_Units'!$A$4:$A$13,$A52,'V2_Units'!$L$4:$L$13)*E52+SUMIF('V2_Units'!$A$4:$A$13,$A52,'V2_Units'!$O$4:$O$13)*D52)*(1-0.15*J52)</x:f>
        <x:v>8.4896</x:v>
      </x:c>
      <x:c r="M52" s="16" t="n">
        <x:f>1-G52*SUMIF('V2_Units'!$A$4:$A$13,$A52,'V2_Units'!$Q$4:$Q$13)</x:f>
        <x:v>0.728</x:v>
      </x:c>
      <x:c r="N52" s="16" t="n">
        <x:f>1+(SUMIF('V2_Units'!$A$4:$A$13,$A52,'V2_Units'!$P$4:$P$13)-1)*F52*(1-H52)</x:f>
        <x:v>1</x:v>
      </x:c>
      <x:c r="O52" s="16" t="n">
        <x:f>1+SUMIF('V2_Units'!$A$4:$A$13,$A52,'V2_Units'!$R$4:$R$13)*SUMIF('V2_Units'!$A$4:$A$13,$A52,'V2_Units'!$S$4:$S$13)*(1-I52)</x:f>
        <x:v>1.01625</x:v>
      </x:c>
      <x:c r="P52" s="16" t="n">
        <x:f>IF(OR(AND($C52="Anti-Armor",D52&gt;=0.5),AND($C52="Premium Anti-Armor",D52&gt;=0.5),AND($C52="Ranged DPS",E52&gt;=0.5),AND($C52="Mobile General",J52&gt;=0.6),AND($C52="Siege / AOE",OR($B52="Tank Line",$B52="High-Ground Defense",$B52="Narrow Choke — Ranged")),AND($C52="Premium AOE",F52&gt;=0.7),AND($C52="Swarm",F52&gt;=0.7),AND($C52="Frontline",G52&gt;=0.7)),1.12,1.00)</x:f>
        <x:v>1</x:v>
      </x:c>
      <x:c r="Q52" s="54" t="n">
        <x:f>SUMIF('V2_Units'!$A$4:$A$13,$A52,'V2_Units'!$AD$4:$AD$13)*(L52/MAX(0.01,SUMIF('V2_Units'!$A$4:$A$13,$A52,'V2_Units'!$K$4:$K$13)))*M52*N52*O52*P52</x:f>
        <x:v>0.5626838100975</x:v>
      </x:c>
      <x:c r="R52" s="54" t="n">
        <x:f>Q52-SUMIF('V2_Units'!$A$4:$A$13,$A52,'V2_Units'!$AD$4:$AD$13)</x:f>
        <x:v>-0.4406911899024999</x:v>
      </x:c>
      <x:c r="S52" s="51" t="str">
        <x:f>IF(Q52&gt;'V2_Parameters'!$B$15,"OVER",IF(Q52&lt;'V2_Parameters'!$B$14,"UNDER","OK"))&amp;" | "&amp;IF(P52&gt;1,"role-fit","base")</x:f>
        <x:v>UNDER | base</x:v>
      </x:c>
    </x:row>
    <x:row r="53">
      <x:c r="A53" t="str">
        <x:v>Roach</x:v>
      </x:c>
      <x:c r="B53" t="str">
        <x:v>Tank Line</x:v>
      </x:c>
      <x:c r="C53" t="str">
        <x:f>VLOOKUP($A53,'V2_Units'!$A$4:$B$13,2,FALSE)</x:f>
        <x:v>Durable Assault</x:v>
      </x:c>
      <x:c r="D53" s="16" t="n">
        <x:f>SUMIF('V2_Scenarios'!$A$4:$A$12,$B53,'V2_Scenarios'!$C$4:$C$12)</x:f>
        <x:v>0.65</x:v>
      </x:c>
      <x:c r="E53" s="16" t="n">
        <x:f>SUMIF('V2_Scenarios'!$A$4:$A$12,$B53,'V2_Scenarios'!$D$4:$D$12)</x:f>
        <x:v>0.15</x:v>
      </x:c>
      <x:c r="F53" s="16" t="n">
        <x:f>SUMIF('V2_Scenarios'!$A$4:$A$12,$B53,'V2_Scenarios'!$E$4:$E$12)</x:f>
        <x:v>0.9</x:v>
      </x:c>
      <x:c r="G53" s="16" t="n">
        <x:f>SUMIF('V2_Scenarios'!$A$4:$A$12,$B53,'V2_Scenarios'!$F$4:$F$12)</x:f>
        <x:v>0.75</x:v>
      </x:c>
      <x:c r="H53" s="16" t="n">
        <x:f>SUMIF('V2_Scenarios'!$A$4:$A$12,$B53,'V2_Scenarios'!$G$4:$G$12)</x:f>
        <x:v>0.35</x:v>
      </x:c>
      <x:c r="I53" s="16" t="n">
        <x:f>SUMIF('V2_Scenarios'!$A$4:$A$12,$B53,'V2_Scenarios'!$H$4:$H$12)</x:f>
        <x:v>0.3</x:v>
      </x:c>
      <x:c r="J53" s="16" t="n">
        <x:f>SUMIF('V2_Scenarios'!$A$4:$A$12,$B53,'V2_Scenarios'!$I$4:$I$12)</x:f>
        <x:v>0.6</x:v>
      </x:c>
      <x:c r="K53" s="16" t="n">
        <x:f>SUMIF('V2_Units'!$A$4:$A$13,$A53,'V2_Units'!$W$4:$W$13)</x:f>
        <x:v>145</x:v>
      </x:c>
      <x:c r="L53" s="16" t="n">
        <x:f>(SUMIF('V2_Units'!$A$4:$A$13,$A53,'V2_Units'!$K$4:$K$13)*(1-E53)+SUMIF('V2_Units'!$A$4:$A$13,$A53,'V2_Units'!$L$4:$L$13)*E53+SUMIF('V2_Units'!$A$4:$A$13,$A53,'V2_Units'!$O$4:$O$13)*D53)*(1-0.15*J53)</x:f>
        <x:v>8.6632</x:v>
      </x:c>
      <x:c r="M53" s="16" t="n">
        <x:f>1-G53*SUMIF('V2_Units'!$A$4:$A$13,$A53,'V2_Units'!$Q$4:$Q$13)</x:f>
        <x:v>0.745</x:v>
      </x:c>
      <x:c r="N53" s="16" t="n">
        <x:f>1+(SUMIF('V2_Units'!$A$4:$A$13,$A53,'V2_Units'!$P$4:$P$13)-1)*F53*(1-H53)</x:f>
        <x:v>1</x:v>
      </x:c>
      <x:c r="O53" s="16" t="n">
        <x:f>1+SUMIF('V2_Units'!$A$4:$A$13,$A53,'V2_Units'!$R$4:$R$13)*SUMIF('V2_Units'!$A$4:$A$13,$A53,'V2_Units'!$S$4:$S$13)*(1-I53)</x:f>
        <x:v>1.0175</x:v>
      </x:c>
      <x:c r="P53" s="16" t="n">
        <x:f>IF(OR(AND($C53="Anti-Armor",D53&gt;=0.5),AND($C53="Premium Anti-Armor",D53&gt;=0.5),AND($C53="Ranged DPS",E53&gt;=0.5),AND($C53="Mobile General",J53&gt;=0.6),AND($C53="Siege / AOE",OR($B53="Tank Line",$B53="High-Ground Defense",$B53="Narrow Choke — Ranged")),AND($C53="Premium AOE",F53&gt;=0.7),AND($C53="Swarm",F53&gt;=0.7),AND($C53="Frontline",G53&gt;=0.7)),1.12,1.00)</x:f>
        <x:v>1</x:v>
      </x:c>
      <x:c r="Q53" s="54" t="n">
        <x:f>SUMIF('V2_Units'!$A$4:$A$13,$A53,'V2_Units'!$AD$4:$AD$13)*(L53/MAX(0.01,SUMIF('V2_Units'!$A$4:$A$13,$A53,'V2_Units'!$K$4:$K$13)))*M53*N53*O53*P53</x:f>
        <x:v>0.5883209105210938</x:v>
      </x:c>
      <x:c r="R53" s="54" t="n">
        <x:f>Q53-SUMIF('V2_Units'!$A$4:$A$13,$A53,'V2_Units'!$AD$4:$AD$13)</x:f>
        <x:v>-0.4150540894789061</x:v>
      </x:c>
      <x:c r="S53" s="51" t="str">
        <x:f>IF(Q53&gt;'V2_Parameters'!$B$15,"OVER",IF(Q53&lt;'V2_Parameters'!$B$14,"UNDER","OK"))&amp;" | "&amp;IF(P53&gt;1,"role-fit","base")</x:f>
        <x:v>UNDER | base</x:v>
      </x:c>
    </x:row>
    <x:row r="54">
      <x:c r="A54" t="str">
        <x:v>Roach</x:v>
      </x:c>
      <x:c r="B54" t="str">
        <x:v>Massive Swarm</x:v>
      </x:c>
      <x:c r="C54" t="str">
        <x:f>VLOOKUP($A54,'V2_Units'!$A$4:$B$13,2,FALSE)</x:f>
        <x:v>Durable Assault</x:v>
      </x:c>
      <x:c r="D54" s="16" t="n">
        <x:f>SUMIF('V2_Scenarios'!$A$4:$A$12,$B54,'V2_Scenarios'!$C$4:$C$12)</x:f>
        <x:v>0.2</x:v>
      </x:c>
      <x:c r="E54" s="16" t="n">
        <x:f>SUMIF('V2_Scenarios'!$A$4:$A$12,$B54,'V2_Scenarios'!$D$4:$D$12)</x:f>
        <x:v>0.1</x:v>
      </x:c>
      <x:c r="F54" s="16" t="n">
        <x:f>SUMIF('V2_Scenarios'!$A$4:$A$12,$B54,'V2_Scenarios'!$E$4:$E$12)</x:f>
        <x:v>0.95</x:v>
      </x:c>
      <x:c r="G54" s="16" t="n">
        <x:f>SUMIF('V2_Scenarios'!$A$4:$A$12,$B54,'V2_Scenarios'!$F$4:$F$12)</x:f>
        <x:v>0.35</x:v>
      </x:c>
      <x:c r="H54" s="16" t="n">
        <x:f>SUMIF('V2_Scenarios'!$A$4:$A$12,$B54,'V2_Scenarios'!$G$4:$G$12)</x:f>
        <x:v>0.2</x:v>
      </x:c>
      <x:c r="I54" s="16" t="n">
        <x:f>SUMIF('V2_Scenarios'!$A$4:$A$12,$B54,'V2_Scenarios'!$H$4:$H$12)</x:f>
        <x:v>0.3</x:v>
      </x:c>
      <x:c r="J54" s="16" t="n">
        <x:f>SUMIF('V2_Scenarios'!$A$4:$A$12,$B54,'V2_Scenarios'!$I$4:$I$12)</x:f>
        <x:v>0.4</x:v>
      </x:c>
      <x:c r="K54" s="16" t="n">
        <x:f>SUMIF('V2_Units'!$A$4:$A$13,$A54,'V2_Units'!$W$4:$W$13)</x:f>
        <x:v>145</x:v>
      </x:c>
      <x:c r="L54" s="16" t="n">
        <x:f>(SUMIF('V2_Units'!$A$4:$A$13,$A54,'V2_Units'!$K$4:$K$13)*(1-E54)+SUMIF('V2_Units'!$A$4:$A$13,$A54,'V2_Units'!$L$4:$L$13)*E54+SUMIF('V2_Units'!$A$4:$A$13,$A54,'V2_Units'!$O$4:$O$13)*D54)*(1-0.15*J54)</x:f>
        <x:v>9.4752</x:v>
      </x:c>
      <x:c r="M54" s="16" t="n">
        <x:f>1-G54*SUMIF('V2_Units'!$A$4:$A$13,$A54,'V2_Units'!$Q$4:$Q$13)</x:f>
        <x:v>0.881</x:v>
      </x:c>
      <x:c r="N54" s="16" t="n">
        <x:f>1+(SUMIF('V2_Units'!$A$4:$A$13,$A54,'V2_Units'!$P$4:$P$13)-1)*F54*(1-H54)</x:f>
        <x:v>1</x:v>
      </x:c>
      <x:c r="O54" s="16" t="n">
        <x:f>1+SUMIF('V2_Units'!$A$4:$A$13,$A54,'V2_Units'!$R$4:$R$13)*SUMIF('V2_Units'!$A$4:$A$13,$A54,'V2_Units'!$S$4:$S$13)*(1-I54)</x:f>
        <x:v>1.0175</x:v>
      </x:c>
      <x:c r="P54" s="16" t="n">
        <x:f>IF(OR(AND($C54="Anti-Armor",D54&gt;=0.5),AND($C54="Premium Anti-Armor",D54&gt;=0.5),AND($C54="Ranged DPS",E54&gt;=0.5),AND($C54="Mobile General",J54&gt;=0.6),AND($C54="Siege / AOE",OR($B54="Tank Line",$B54="High-Ground Defense",$B54="Narrow Choke — Ranged")),AND($C54="Premium AOE",F54&gt;=0.7),AND($C54="Swarm",F54&gt;=0.7),AND($C54="Frontline",G54&gt;=0.7)),1.12,1.00)</x:f>
        <x:v>1</x:v>
      </x:c>
      <x:c r="Q54" s="54" t="n">
        <x:f>SUMIF('V2_Units'!$A$4:$A$13,$A54,'V2_Units'!$AD$4:$AD$13)*(L54/MAX(0.01,SUMIF('V2_Units'!$A$4:$A$13,$A54,'V2_Units'!$K$4:$K$13)))*M54*N54*O54*P54</x:f>
        <x:v>0.7609287010668749</x:v>
      </x:c>
      <x:c r="R54" s="54" t="n">
        <x:f>Q54-SUMIF('V2_Units'!$A$4:$A$13,$A54,'V2_Units'!$AD$4:$AD$13)</x:f>
        <x:v>-0.24244629893312497</x:v>
      </x:c>
      <x:c r="S54" s="51" t="str">
        <x:f>IF(Q54&gt;'V2_Parameters'!$B$15,"OVER",IF(Q54&lt;'V2_Parameters'!$B$14,"UNDER","OK"))&amp;" | "&amp;IF(P54&gt;1,"role-fit","base")</x:f>
        <x:v>UNDER | base</x:v>
      </x:c>
    </x:row>
    <x:row r="55">
      <x:c r="A55" t="str">
        <x:v>Roach</x:v>
      </x:c>
      <x:c r="B55" t="str">
        <x:v>High-Ground Defense</x:v>
      </x:c>
      <x:c r="C55" t="str">
        <x:f>VLOOKUP($A55,'V2_Units'!$A$4:$B$13,2,FALSE)</x:f>
        <x:v>Durable Assault</x:v>
      </x:c>
      <x:c r="D55" s="16" t="n">
        <x:f>SUMIF('V2_Scenarios'!$A$4:$A$12,$B55,'V2_Scenarios'!$C$4:$C$12)</x:f>
        <x:v>0.55</x:v>
      </x:c>
      <x:c r="E55" s="16" t="n">
        <x:f>SUMIF('V2_Scenarios'!$A$4:$A$12,$B55,'V2_Scenarios'!$D$4:$D$12)</x:f>
        <x:v>0.15</x:v>
      </x:c>
      <x:c r="F55" s="16" t="n">
        <x:f>SUMIF('V2_Scenarios'!$A$4:$A$12,$B55,'V2_Scenarios'!$E$4:$E$12)</x:f>
        <x:v>0.7</x:v>
      </x:c>
      <x:c r="G55" s="16" t="n">
        <x:f>SUMIF('V2_Scenarios'!$A$4:$A$12,$B55,'V2_Scenarios'!$F$4:$F$12)</x:f>
        <x:v>0.55</x:v>
      </x:c>
      <x:c r="H55" s="16" t="n">
        <x:f>SUMIF('V2_Scenarios'!$A$4:$A$12,$B55,'V2_Scenarios'!$G$4:$G$12)</x:f>
        <x:v>0.5</x:v>
      </x:c>
      <x:c r="I55" s="16" t="n">
        <x:f>SUMIF('V2_Scenarios'!$A$4:$A$12,$B55,'V2_Scenarios'!$H$4:$H$12)</x:f>
        <x:v>0.3</x:v>
      </x:c>
      <x:c r="J55" s="16" t="n">
        <x:f>SUMIF('V2_Scenarios'!$A$4:$A$12,$B55,'V2_Scenarios'!$I$4:$I$12)</x:f>
        <x:v>0.55</x:v>
      </x:c>
      <x:c r="K55" s="16" t="n">
        <x:f>SUMIF('V2_Units'!$A$4:$A$13,$A55,'V2_Units'!$W$4:$W$13)</x:f>
        <x:v>145</x:v>
      </x:c>
      <x:c r="L55" s="16" t="n">
        <x:f>(SUMIF('V2_Units'!$A$4:$A$13,$A55,'V2_Units'!$K$4:$K$13)*(1-E55)+SUMIF('V2_Units'!$A$4:$A$13,$A55,'V2_Units'!$L$4:$L$13)*E55+SUMIF('V2_Units'!$A$4:$A$13,$A55,'V2_Units'!$O$4:$O$13)*D55)*(1-0.15*J55)</x:f>
        <x:v>8.734599999999999</x:v>
      </x:c>
      <x:c r="M55" s="16" t="n">
        <x:f>1-G55*SUMIF('V2_Units'!$A$4:$A$13,$A55,'V2_Units'!$Q$4:$Q$13)</x:f>
        <x:v>0.813</x:v>
      </x:c>
      <x:c r="N55" s="16" t="n">
        <x:f>1+(SUMIF('V2_Units'!$A$4:$A$13,$A55,'V2_Units'!$P$4:$P$13)-1)*F55*(1-H55)</x:f>
        <x:v>1</x:v>
      </x:c>
      <x:c r="O55" s="16" t="n">
        <x:f>1+SUMIF('V2_Units'!$A$4:$A$13,$A55,'V2_Units'!$R$4:$R$13)*SUMIF('V2_Units'!$A$4:$A$13,$A55,'V2_Units'!$S$4:$S$13)*(1-I55)</x:f>
        <x:v>1.0175</x:v>
      </x:c>
      <x:c r="P55" s="16" t="n">
        <x:f>IF(OR(AND($C55="Anti-Armor",D55&gt;=0.5),AND($C55="Premium Anti-Armor",D55&gt;=0.5),AND($C55="Ranged DPS",E55&gt;=0.5),AND($C55="Mobile General",J55&gt;=0.6),AND($C55="Siege / AOE",OR($B55="Tank Line",$B55="High-Ground Defense",$B55="Narrow Choke — Ranged")),AND($C55="Premium AOE",F55&gt;=0.7),AND($C55="Swarm",F55&gt;=0.7),AND($C55="Frontline",G55&gt;=0.7)),1.12,1.00)</x:f>
        <x:v>1</x:v>
      </x:c>
      <x:c r="Q55" s="54" t="n">
        <x:f>SUMIF('V2_Units'!$A$4:$A$13,$A55,'V2_Units'!$AD$4:$AD$13)*(L55/MAX(0.01,SUMIF('V2_Units'!$A$4:$A$13,$A55,'V2_Units'!$K$4:$K$13)))*M55*N55*O55*P55</x:f>
        <x:v>0.6473113739696482</x:v>
      </x:c>
      <x:c r="R55" s="54" t="n">
        <x:f>Q55-SUMIF('V2_Units'!$A$4:$A$13,$A55,'V2_Units'!$AD$4:$AD$13)</x:f>
        <x:v>-0.3560636260303517</x:v>
      </x:c>
      <x:c r="S55" s="51" t="str">
        <x:f>IF(Q55&gt;'V2_Parameters'!$B$15,"OVER",IF(Q55&lt;'V2_Parameters'!$B$14,"UNDER","OK"))&amp;" | "&amp;IF(P55&gt;1,"role-fit","base")</x:f>
        <x:v>UNDER | base</x:v>
      </x:c>
    </x:row>
    <x:row r="56">
      <x:c r="A56" t="str">
        <x:v>Roach</x:v>
      </x:c>
      <x:c r="B56" t="str">
        <x:v>Anti-Air Screen</x:v>
      </x:c>
      <x:c r="C56" t="str">
        <x:f>VLOOKUP($A56,'V2_Units'!$A$4:$B$13,2,FALSE)</x:f>
        <x:v>Durable Assault</x:v>
      </x:c>
      <x:c r="D56" s="16" t="n">
        <x:f>SUMIF('V2_Scenarios'!$A$4:$A$12,$B56,'V2_Scenarios'!$C$4:$C$12)</x:f>
        <x:v>0.2</x:v>
      </x:c>
      <x:c r="E56" s="16" t="n">
        <x:f>SUMIF('V2_Scenarios'!$A$4:$A$12,$B56,'V2_Scenarios'!$D$4:$D$12)</x:f>
        <x:v>0.8</x:v>
      </x:c>
      <x:c r="F56" s="16" t="n">
        <x:f>SUMIF('V2_Scenarios'!$A$4:$A$12,$B56,'V2_Scenarios'!$E$4:$E$12)</x:f>
        <x:v>0.6</x:v>
      </x:c>
      <x:c r="G56" s="16" t="n">
        <x:f>SUMIF('V2_Scenarios'!$A$4:$A$12,$B56,'V2_Scenarios'!$F$4:$F$12)</x:f>
        <x:v>0.45</x:v>
      </x:c>
      <x:c r="H56" s="16" t="n">
        <x:f>SUMIF('V2_Scenarios'!$A$4:$A$12,$B56,'V2_Scenarios'!$G$4:$G$12)</x:f>
        <x:v>0.55</x:v>
      </x:c>
      <x:c r="I56" s="16" t="n">
        <x:f>SUMIF('V2_Scenarios'!$A$4:$A$12,$B56,'V2_Scenarios'!$H$4:$H$12)</x:f>
        <x:v>0.25</x:v>
      </x:c>
      <x:c r="J56" s="16" t="n">
        <x:f>SUMIF('V2_Scenarios'!$A$4:$A$12,$B56,'V2_Scenarios'!$I$4:$I$12)</x:f>
        <x:v>0.45</x:v>
      </x:c>
      <x:c r="K56" s="16" t="n">
        <x:f>SUMIF('V2_Units'!$A$4:$A$13,$A56,'V2_Units'!$W$4:$W$13)</x:f>
        <x:v>145</x:v>
      </x:c>
      <x:c r="L56" s="16" t="n">
        <x:f>(SUMIF('V2_Units'!$A$4:$A$13,$A56,'V2_Units'!$K$4:$K$13)*(1-E56)+SUMIF('V2_Units'!$A$4:$A$13,$A56,'V2_Units'!$L$4:$L$13)*E56+SUMIF('V2_Units'!$A$4:$A$13,$A56,'V2_Units'!$O$4:$O$13)*D56)*(1-0.15*J56)</x:f>
        <x:v>2.0887999999999995</x:v>
      </x:c>
      <x:c r="M56" s="16" t="n">
        <x:f>1-G56*SUMIF('V2_Units'!$A$4:$A$13,$A56,'V2_Units'!$Q$4:$Q$13)</x:f>
        <x:v>0.847</x:v>
      </x:c>
      <x:c r="N56" s="16" t="n">
        <x:f>1+(SUMIF('V2_Units'!$A$4:$A$13,$A56,'V2_Units'!$P$4:$P$13)-1)*F56*(1-H56)</x:f>
        <x:v>1</x:v>
      </x:c>
      <x:c r="O56" s="16" t="n">
        <x:f>1+SUMIF('V2_Units'!$A$4:$A$13,$A56,'V2_Units'!$R$4:$R$13)*SUMIF('V2_Units'!$A$4:$A$13,$A56,'V2_Units'!$S$4:$S$13)*(1-I56)</x:f>
        <x:v>1.01875</x:v>
      </x:c>
      <x:c r="P56" s="16" t="n">
        <x:f>IF(OR(AND($C56="Anti-Armor",D56&gt;=0.5),AND($C56="Premium Anti-Armor",D56&gt;=0.5),AND($C56="Ranged DPS",E56&gt;=0.5),AND($C56="Mobile General",J56&gt;=0.6),AND($C56="Siege / AOE",OR($B56="Tank Line",$B56="High-Ground Defense",$B56="Narrow Choke — Ranged")),AND($C56="Premium AOE",F56&gt;=0.7),AND($C56="Swarm",F56&gt;=0.7),AND($C56="Frontline",G56&gt;=0.7)),1.12,1.00)</x:f>
        <x:v>1</x:v>
      </x:c>
      <x:c r="Q56" s="54" t="n">
        <x:f>SUMIF('V2_Units'!$A$4:$A$13,$A56,'V2_Units'!$AD$4:$AD$13)*(L56/MAX(0.01,SUMIF('V2_Units'!$A$4:$A$13,$A56,'V2_Units'!$K$4:$K$13)))*M56*N56*O56*P56</x:f>
        <x:v>0.1614704829417968</x:v>
      </x:c>
      <x:c r="R56" s="54" t="n">
        <x:f>Q56-SUMIF('V2_Units'!$A$4:$A$13,$A56,'V2_Units'!$AD$4:$AD$13)</x:f>
        <x:v>-0.8419045170582031</x:v>
      </x:c>
      <x:c r="S56" s="51" t="str">
        <x:f>IF(Q56&gt;'V2_Parameters'!$B$15,"OVER",IF(Q56&lt;'V2_Parameters'!$B$14,"UNDER","OK"))&amp;" | "&amp;IF(P56&gt;1,"role-fit","base")</x:f>
        <x:v>UNDER | base</x:v>
      </x:c>
    </x:row>
    <x:row r="57">
      <x:c r="A57" t="str">
        <x:v>Roach</x:v>
      </x:c>
      <x:c r="B57" t="str">
        <x:v>Kite Scenario</x:v>
      </x:c>
      <x:c r="C57" t="str">
        <x:f>VLOOKUP($A57,'V2_Units'!$A$4:$B$13,2,FALSE)</x:f>
        <x:v>Durable Assault</x:v>
      </x:c>
      <x:c r="D57" s="16" t="n">
        <x:f>SUMIF('V2_Scenarios'!$A$4:$A$12,$B57,'V2_Scenarios'!$C$4:$C$12)</x:f>
        <x:v>0.25</x:v>
      </x:c>
      <x:c r="E57" s="16" t="n">
        <x:f>SUMIF('V2_Scenarios'!$A$4:$A$12,$B57,'V2_Scenarios'!$D$4:$D$12)</x:f>
        <x:v>0.2</x:v>
      </x:c>
      <x:c r="F57" s="16" t="n">
        <x:f>SUMIF('V2_Scenarios'!$A$4:$A$12,$B57,'V2_Scenarios'!$E$4:$E$12)</x:f>
        <x:v>0.55</x:v>
      </x:c>
      <x:c r="G57" s="16" t="n">
        <x:f>SUMIF('V2_Scenarios'!$A$4:$A$12,$B57,'V2_Scenarios'!$F$4:$F$12)</x:f>
        <x:v>0.3</x:v>
      </x:c>
      <x:c r="H57" s="16" t="n">
        <x:f>SUMIF('V2_Scenarios'!$A$4:$A$12,$B57,'V2_Scenarios'!$G$4:$G$12)</x:f>
        <x:v>0.65</x:v>
      </x:c>
      <x:c r="I57" s="16" t="n">
        <x:f>SUMIF('V2_Scenarios'!$A$4:$A$12,$B57,'V2_Scenarios'!$H$4:$H$12)</x:f>
        <x:v>0.45</x:v>
      </x:c>
      <x:c r="J57" s="16" t="n">
        <x:f>SUMIF('V2_Scenarios'!$A$4:$A$12,$B57,'V2_Scenarios'!$I$4:$I$12)</x:f>
        <x:v>0.8</x:v>
      </x:c>
      <x:c r="K57" s="16" t="n">
        <x:f>SUMIF('V2_Units'!$A$4:$A$13,$A57,'V2_Units'!$W$4:$W$13)</x:f>
        <x:v>145</x:v>
      </x:c>
      <x:c r="L57" s="16" t="n">
        <x:f>(SUMIF('V2_Units'!$A$4:$A$13,$A57,'V2_Units'!$K$4:$K$13)*(1-E57)+SUMIF('V2_Units'!$A$4:$A$13,$A57,'V2_Units'!$L$4:$L$13)*E57+SUMIF('V2_Units'!$A$4:$A$13,$A57,'V2_Units'!$O$4:$O$13)*D57)*(1-0.15*J57)</x:f>
        <x:v>7.884799999999999</x:v>
      </x:c>
      <x:c r="M57" s="16" t="n">
        <x:f>1-G57*SUMIF('V2_Units'!$A$4:$A$13,$A57,'V2_Units'!$Q$4:$Q$13)</x:f>
        <x:v>0.898</x:v>
      </x:c>
      <x:c r="N57" s="16" t="n">
        <x:f>1+(SUMIF('V2_Units'!$A$4:$A$13,$A57,'V2_Units'!$P$4:$P$13)-1)*F57*(1-H57)</x:f>
        <x:v>1</x:v>
      </x:c>
      <x:c r="O57" s="16" t="n">
        <x:f>1+SUMIF('V2_Units'!$A$4:$A$13,$A57,'V2_Units'!$R$4:$R$13)*SUMIF('V2_Units'!$A$4:$A$13,$A57,'V2_Units'!$S$4:$S$13)*(1-I57)</x:f>
        <x:v>1.01375</x:v>
      </x:c>
      <x:c r="P57" s="16" t="n">
        <x:f>IF(OR(AND($C57="Anti-Armor",D57&gt;=0.5),AND($C57="Premium Anti-Armor",D57&gt;=0.5),AND($C57="Ranged DPS",E57&gt;=0.5),AND($C57="Mobile General",J57&gt;=0.6),AND($C57="Siege / AOE",OR($B57="Tank Line",$B57="High-Ground Defense",$B57="Narrow Choke — Ranged")),AND($C57="Premium AOE",F57&gt;=0.7),AND($C57="Swarm",F57&gt;=0.7),AND($C57="Frontline",G57&gt;=0.7)),1.12,1.00)</x:f>
        <x:v>1</x:v>
      </x:c>
      <x:c r="Q57" s="54" t="n">
        <x:f>SUMIF('V2_Units'!$A$4:$A$13,$A57,'V2_Units'!$AD$4:$AD$13)*(L57/MAX(0.01,SUMIF('V2_Units'!$A$4:$A$13,$A57,'V2_Units'!$K$4:$K$13)))*M57*N57*O57*P57</x:f>
        <x:v>0.6430476256599998</x:v>
      </x:c>
      <x:c r="R57" s="54" t="n">
        <x:f>Q57-SUMIF('V2_Units'!$A$4:$A$13,$A57,'V2_Units'!$AD$4:$AD$13)</x:f>
        <x:v>-0.36032737434000006</x:v>
      </x:c>
      <x:c r="S57" s="51" t="str">
        <x:f>IF(Q57&gt;'V2_Parameters'!$B$15,"OVER",IF(Q57&lt;'V2_Parameters'!$B$14,"UNDER","OK"))&amp;" | "&amp;IF(P57&gt;1,"role-fit","base")</x:f>
        <x:v>UNDER | base</x:v>
      </x:c>
    </x:row>
    <x:row r="58">
      <x:c r="A58" t="str">
        <x:v>Hydralisk</x:v>
      </x:c>
      <x:c r="B58" t="str">
        <x:v>Open Field — Light Mass</x:v>
      </x:c>
      <x:c r="C58" t="str">
        <x:f>VLOOKUP($A58,'V2_Units'!$A$4:$B$13,2,FALSE)</x:f>
        <x:v>Ranged DPS</x:v>
      </x:c>
      <x:c r="D58" s="16" t="n">
        <x:f>SUMIF('V2_Scenarios'!$A$4:$A$12,$B58,'V2_Scenarios'!$C$4:$C$12)</x:f>
        <x:v>0.1</x:v>
      </x:c>
      <x:c r="E58" s="16" t="n">
        <x:f>SUMIF('V2_Scenarios'!$A$4:$A$12,$B58,'V2_Scenarios'!$D$4:$D$12)</x:f>
        <x:v>0.2</x:v>
      </x:c>
      <x:c r="F58" s="16" t="n">
        <x:f>SUMIF('V2_Scenarios'!$A$4:$A$12,$B58,'V2_Scenarios'!$E$4:$E$12)</x:f>
        <x:v>0.45</x:v>
      </x:c>
      <x:c r="G58" s="16" t="n">
        <x:f>SUMIF('V2_Scenarios'!$A$4:$A$12,$B58,'V2_Scenarios'!$F$4:$F$12)</x:f>
        <x:v>0.2</x:v>
      </x:c>
      <x:c r="H58" s="16" t="n">
        <x:f>SUMIF('V2_Scenarios'!$A$4:$A$12,$B58,'V2_Scenarios'!$G$4:$G$12)</x:f>
        <x:v>0.6</x:v>
      </x:c>
      <x:c r="I58" s="16" t="n">
        <x:f>SUMIF('V2_Scenarios'!$A$4:$A$12,$B58,'V2_Scenarios'!$H$4:$H$12)</x:f>
        <x:v>0.35</x:v>
      </x:c>
      <x:c r="J58" s="16" t="n">
        <x:f>SUMIF('V2_Scenarios'!$A$4:$A$12,$B58,'V2_Scenarios'!$I$4:$I$12)</x:f>
        <x:v>0.25</x:v>
      </x:c>
      <x:c r="K58" s="16" t="n">
        <x:f>SUMIF('V2_Units'!$A$4:$A$13,$A58,'V2_Units'!$W$4:$W$13)</x:f>
        <x:v>90</x:v>
      </x:c>
      <x:c r="L58" s="16" t="n">
        <x:f>(SUMIF('V2_Units'!$A$4:$A$13,$A58,'V2_Units'!$K$4:$K$13)*(1-E58)+SUMIF('V2_Units'!$A$4:$A$13,$A58,'V2_Units'!$L$4:$L$13)*E58+SUMIF('V2_Units'!$A$4:$A$13,$A58,'V2_Units'!$O$4:$O$13)*D58)*(1-0.15*J58)</x:f>
        <x:v>19.634999999999998</x:v>
      </x:c>
      <x:c r="M58" s="16" t="n">
        <x:f>1-G58*SUMIF('V2_Units'!$A$4:$A$13,$A58,'V2_Units'!$Q$4:$Q$13)</x:f>
        <x:v>0.952</x:v>
      </x:c>
      <x:c r="N58" s="16" t="n">
        <x:f>1+(SUMIF('V2_Units'!$A$4:$A$13,$A58,'V2_Units'!$P$4:$P$13)-1)*F58*(1-H58)</x:f>
        <x:v>1</x:v>
      </x:c>
      <x:c r="O58" s="16" t="n">
        <x:f>1+SUMIF('V2_Units'!$A$4:$A$13,$A58,'V2_Units'!$R$4:$R$13)*SUMIF('V2_Units'!$A$4:$A$13,$A58,'V2_Units'!$S$4:$S$13)*(1-I58)</x:f>
        <x:v>1.0312</x:v>
      </x:c>
      <x:c r="P58" s="16" t="n">
        <x:f>IF(OR(AND($C58="Anti-Armor",D58&gt;=0.5),AND($C58="Premium Anti-Armor",D58&gt;=0.5),AND($C58="Ranged DPS",E58&gt;=0.5),AND($C58="Mobile General",J58&gt;=0.6),AND($C58="Siege / AOE",OR($B58="Tank Line",$B58="High-Ground Defense",$B58="Narrow Choke — Ranged")),AND($C58="Premium AOE",F58&gt;=0.7),AND($C58="Swarm",F58&gt;=0.7),AND($C58="Frontline",G58&gt;=0.7)),1.12,1.00)</x:f>
        <x:v>1</x:v>
      </x:c>
      <x:c r="Q58" s="54" t="n">
        <x:f>SUMIF('V2_Units'!$A$4:$A$13,$A58,'V2_Units'!$AD$4:$AD$13)*(L58/MAX(0.01,SUMIF('V2_Units'!$A$4:$A$13,$A58,'V2_Units'!$K$4:$K$13)))*M58*N58*O58*P58</x:f>
        <x:v>0.9510114378687998</x:v>
      </x:c>
      <x:c r="R58" s="54" t="n">
        <x:f>Q58-SUMIF('V2_Units'!$A$4:$A$13,$A58,'V2_Units'!$AD$4:$AD$13)</x:f>
        <x:v>-0.055468562131200216</x:v>
      </x:c>
      <x:c r="S58" s="51" t="str">
        <x:f>IF(Q58&gt;'V2_Parameters'!$B$15,"OVER",IF(Q58&lt;'V2_Parameters'!$B$14,"UNDER","OK"))&amp;" | "&amp;IF(P58&gt;1,"role-fit","base")</x:f>
        <x:v>OK | base</x:v>
      </x:c>
    </x:row>
    <x:row r="59">
      <x:c r="A59" t="str">
        <x:v>Hydralisk</x:v>
      </x:c>
      <x:c r="B59" t="str">
        <x:v>Open Field — Armored</x:v>
      </x:c>
      <x:c r="C59" t="str">
        <x:f>VLOOKUP($A59,'V2_Units'!$A$4:$B$13,2,FALSE)</x:f>
        <x:v>Ranged DPS</x:v>
      </x:c>
      <x:c r="D59" s="16" t="n">
        <x:f>SUMIF('V2_Scenarios'!$A$4:$A$12,$B59,'V2_Scenarios'!$C$4:$C$12)</x:f>
        <x:v>0.85</x:v>
      </x:c>
      <x:c r="E59" s="16" t="n">
        <x:f>SUMIF('V2_Scenarios'!$A$4:$A$12,$B59,'V2_Scenarios'!$D$4:$D$12)</x:f>
        <x:v>0.15</x:v>
      </x:c>
      <x:c r="F59" s="16" t="n">
        <x:f>SUMIF('V2_Scenarios'!$A$4:$A$12,$B59,'V2_Scenarios'!$E$4:$E$12)</x:f>
        <x:v>0.45</x:v>
      </x:c>
      <x:c r="G59" s="16" t="n">
        <x:f>SUMIF('V2_Scenarios'!$A$4:$A$12,$B59,'V2_Scenarios'!$F$4:$F$12)</x:f>
        <x:v>0.2</x:v>
      </x:c>
      <x:c r="H59" s="16" t="n">
        <x:f>SUMIF('V2_Scenarios'!$A$4:$A$12,$B59,'V2_Scenarios'!$G$4:$G$12)</x:f>
        <x:v>0.6</x:v>
      </x:c>
      <x:c r="I59" s="16" t="n">
        <x:f>SUMIF('V2_Scenarios'!$A$4:$A$12,$B59,'V2_Scenarios'!$H$4:$H$12)</x:f>
        <x:v>0.35</x:v>
      </x:c>
      <x:c r="J59" s="16" t="n">
        <x:f>SUMIF('V2_Scenarios'!$A$4:$A$12,$B59,'V2_Scenarios'!$I$4:$I$12)</x:f>
        <x:v>0.35</x:v>
      </x:c>
      <x:c r="K59" s="16" t="n">
        <x:f>SUMIF('V2_Units'!$A$4:$A$13,$A59,'V2_Units'!$W$4:$W$13)</x:f>
        <x:v>90</x:v>
      </x:c>
      <x:c r="L59" s="16" t="n">
        <x:f>(SUMIF('V2_Units'!$A$4:$A$13,$A59,'V2_Units'!$K$4:$K$13)*(1-E59)+SUMIF('V2_Units'!$A$4:$A$13,$A59,'V2_Units'!$L$4:$L$13)*E59+SUMIF('V2_Units'!$A$4:$A$13,$A59,'V2_Units'!$O$4:$O$13)*D59)*(1-0.15*J59)</x:f>
        <x:v>19.328999999999997</x:v>
      </x:c>
      <x:c r="M59" s="16" t="n">
        <x:f>1-G59*SUMIF('V2_Units'!$A$4:$A$13,$A59,'V2_Units'!$Q$4:$Q$13)</x:f>
        <x:v>0.952</x:v>
      </x:c>
      <x:c r="N59" s="16" t="n">
        <x:f>1+(SUMIF('V2_Units'!$A$4:$A$13,$A59,'V2_Units'!$P$4:$P$13)-1)*F59*(1-H59)</x:f>
        <x:v>1</x:v>
      </x:c>
      <x:c r="O59" s="16" t="n">
        <x:f>1+SUMIF('V2_Units'!$A$4:$A$13,$A59,'V2_Units'!$R$4:$R$13)*SUMIF('V2_Units'!$A$4:$A$13,$A59,'V2_Units'!$S$4:$S$13)*(1-I59)</x:f>
        <x:v>1.0312</x:v>
      </x:c>
      <x:c r="P59" s="16" t="n">
        <x:f>IF(OR(AND($C59="Anti-Armor",D59&gt;=0.5),AND($C59="Premium Anti-Armor",D59&gt;=0.5),AND($C59="Ranged DPS",E59&gt;=0.5),AND($C59="Mobile General",J59&gt;=0.6),AND($C59="Siege / AOE",OR($B59="Tank Line",$B59="High-Ground Defense",$B59="Narrow Choke — Ranged")),AND($C59="Premium AOE",F59&gt;=0.7),AND($C59="Swarm",F59&gt;=0.7),AND($C59="Frontline",G59&gt;=0.7)),1.12,1.00)</x:f>
        <x:v>1</x:v>
      </x:c>
      <x:c r="Q59" s="54" t="n">
        <x:f>SUMIF('V2_Units'!$A$4:$A$13,$A59,'V2_Units'!$AD$4:$AD$13)*(L59/MAX(0.01,SUMIF('V2_Units'!$A$4:$A$13,$A59,'V2_Units'!$K$4:$K$13)))*M59*N59*O59*P59</x:f>
        <x:v>0.9361904803955198</x:v>
      </x:c>
      <x:c r="R59" s="54" t="n">
        <x:f>Q59-SUMIF('V2_Units'!$A$4:$A$13,$A59,'V2_Units'!$AD$4:$AD$13)</x:f>
        <x:v>-0.07028951960448027</x:v>
      </x:c>
      <x:c r="S59" s="51" t="str">
        <x:f>IF(Q59&gt;'V2_Parameters'!$B$15,"OVER",IF(Q59&lt;'V2_Parameters'!$B$14,"UNDER","OK"))&amp;" | "&amp;IF(P59&gt;1,"role-fit","base")</x:f>
        <x:v>OK | base</x:v>
      </x:c>
    </x:row>
    <x:row r="60">
      <x:c r="A60" t="str">
        <x:v>Hydralisk</x:v>
      </x:c>
      <x:c r="B60" t="str">
        <x:v>Narrow Choke — Melee</x:v>
      </x:c>
      <x:c r="C60" t="str">
        <x:f>VLOOKUP($A60,'V2_Units'!$A$4:$B$13,2,FALSE)</x:f>
        <x:v>Ranged DPS</x:v>
      </x:c>
      <x:c r="D60" s="16" t="n">
        <x:f>SUMIF('V2_Scenarios'!$A$4:$A$12,$B60,'V2_Scenarios'!$C$4:$C$12)</x:f>
        <x:v>0.35</x:v>
      </x:c>
      <x:c r="E60" s="16" t="n">
        <x:f>SUMIF('V2_Scenarios'!$A$4:$A$12,$B60,'V2_Scenarios'!$D$4:$D$12)</x:f>
        <x:v>0.1</x:v>
      </x:c>
      <x:c r="F60" s="16" t="n">
        <x:f>SUMIF('V2_Scenarios'!$A$4:$A$12,$B60,'V2_Scenarios'!$E$4:$E$12)</x:f>
        <x:v>0.85</x:v>
      </x:c>
      <x:c r="G60" s="16" t="n">
        <x:f>SUMIF('V2_Scenarios'!$A$4:$A$12,$B60,'V2_Scenarios'!$F$4:$F$12)</x:f>
        <x:v>0.85</x:v>
      </x:c>
      <x:c r="H60" s="16" t="n">
        <x:f>SUMIF('V2_Scenarios'!$A$4:$A$12,$B60,'V2_Scenarios'!$G$4:$G$12)</x:f>
        <x:v>0.25</x:v>
      </x:c>
      <x:c r="I60" s="16" t="n">
        <x:f>SUMIF('V2_Scenarios'!$A$4:$A$12,$B60,'V2_Scenarios'!$H$4:$H$12)</x:f>
        <x:v>0.4</x:v>
      </x:c>
      <x:c r="J60" s="16" t="n">
        <x:f>SUMIF('V2_Scenarios'!$A$4:$A$12,$B60,'V2_Scenarios'!$I$4:$I$12)</x:f>
        <x:v>0.45</x:v>
      </x:c>
      <x:c r="K60" s="16" t="n">
        <x:f>SUMIF('V2_Units'!$A$4:$A$13,$A60,'V2_Units'!$W$4:$W$13)</x:f>
        <x:v>90</x:v>
      </x:c>
      <x:c r="L60" s="16" t="n">
        <x:f>(SUMIF('V2_Units'!$A$4:$A$13,$A60,'V2_Units'!$K$4:$K$13)*(1-E60)+SUMIF('V2_Units'!$A$4:$A$13,$A60,'V2_Units'!$L$4:$L$13)*E60+SUMIF('V2_Units'!$A$4:$A$13,$A60,'V2_Units'!$O$4:$O$13)*D60)*(1-0.15*J60)</x:f>
        <x:v>19.023</x:v>
      </x:c>
      <x:c r="M60" s="16" t="n">
        <x:f>1-G60*SUMIF('V2_Units'!$A$4:$A$13,$A60,'V2_Units'!$Q$4:$Q$13)</x:f>
        <x:v>0.796</x:v>
      </x:c>
      <x:c r="N60" s="16" t="n">
        <x:f>1+(SUMIF('V2_Units'!$A$4:$A$13,$A60,'V2_Units'!$P$4:$P$13)-1)*F60*(1-H60)</x:f>
        <x:v>1</x:v>
      </x:c>
      <x:c r="O60" s="16" t="n">
        <x:f>1+SUMIF('V2_Units'!$A$4:$A$13,$A60,'V2_Units'!$R$4:$R$13)*SUMIF('V2_Units'!$A$4:$A$13,$A60,'V2_Units'!$S$4:$S$13)*(1-I60)</x:f>
        <x:v>1.0288</x:v>
      </x:c>
      <x:c r="P60" s="16" t="n">
        <x:f>IF(OR(AND($C60="Anti-Armor",D60&gt;=0.5),AND($C60="Premium Anti-Armor",D60&gt;=0.5),AND($C60="Ranged DPS",E60&gt;=0.5),AND($C60="Mobile General",J60&gt;=0.6),AND($C60="Siege / AOE",OR($B60="Tank Line",$B60="High-Ground Defense",$B60="Narrow Choke — Ranged")),AND($C60="Premium AOE",F60&gt;=0.7),AND($C60="Swarm",F60&gt;=0.7),AND($C60="Frontline",G60&gt;=0.7)),1.12,1.00)</x:f>
        <x:v>1</x:v>
      </x:c>
      <x:c r="Q60" s="54" t="n">
        <x:f>SUMIF('V2_Units'!$A$4:$A$13,$A60,'V2_Units'!$AD$4:$AD$13)*(L60/MAX(0.01,SUMIF('V2_Units'!$A$4:$A$13,$A60,'V2_Units'!$K$4:$K$13)))*M60*N60*O60*P60</x:f>
        <x:v>0.76859581099648</x:v>
      </x:c>
      <x:c r="R60" s="54" t="n">
        <x:f>Q60-SUMIF('V2_Units'!$A$4:$A$13,$A60,'V2_Units'!$AD$4:$AD$13)</x:f>
        <x:v>-0.23788418900352004</x:v>
      </x:c>
      <x:c r="S60" s="51" t="str">
        <x:f>IF(Q60&gt;'V2_Parameters'!$B$15,"OVER",IF(Q60&lt;'V2_Parameters'!$B$14,"UNDER","OK"))&amp;" | "&amp;IF(P60&gt;1,"role-fit","base")</x:f>
        <x:v>UNDER | base</x:v>
      </x:c>
    </x:row>
    <x:row r="61">
      <x:c r="A61" t="str">
        <x:v>Hydralisk</x:v>
      </x:c>
      <x:c r="B61" t="str">
        <x:v>Narrow Choke — Ranged</x:v>
      </x:c>
      <x:c r="C61" t="str">
        <x:f>VLOOKUP($A61,'V2_Units'!$A$4:$B$13,2,FALSE)</x:f>
        <x:v>Ranged DPS</x:v>
      </x:c>
      <x:c r="D61" s="16" t="n">
        <x:f>SUMIF('V2_Scenarios'!$A$4:$A$12,$B61,'V2_Scenarios'!$C$4:$C$12)</x:f>
        <x:v>0.5</x:v>
      </x:c>
      <x:c r="E61" s="16" t="n">
        <x:f>SUMIF('V2_Scenarios'!$A$4:$A$12,$B61,'V2_Scenarios'!$D$4:$D$12)</x:f>
        <x:v>0.2</x:v>
      </x:c>
      <x:c r="F61" s="16" t="n">
        <x:f>SUMIF('V2_Scenarios'!$A$4:$A$12,$B61,'V2_Scenarios'!$E$4:$E$12)</x:f>
        <x:v>0.75</x:v>
      </x:c>
      <x:c r="G61" s="16" t="n">
        <x:f>SUMIF('V2_Scenarios'!$A$4:$A$12,$B61,'V2_Scenarios'!$F$4:$F$12)</x:f>
        <x:v>0.8</x:v>
      </x:c>
      <x:c r="H61" s="16" t="n">
        <x:f>SUMIF('V2_Scenarios'!$A$4:$A$12,$B61,'V2_Scenarios'!$G$4:$G$12)</x:f>
        <x:v>0.3</x:v>
      </x:c>
      <x:c r="I61" s="16" t="n">
        <x:f>SUMIF('V2_Scenarios'!$A$4:$A$12,$B61,'V2_Scenarios'!$H$4:$H$12)</x:f>
        <x:v>0.35</x:v>
      </x:c>
      <x:c r="J61" s="16" t="n">
        <x:f>SUMIF('V2_Scenarios'!$A$4:$A$12,$B61,'V2_Scenarios'!$I$4:$I$12)</x:f>
        <x:v>0.35</x:v>
      </x:c>
      <x:c r="K61" s="16" t="n">
        <x:f>SUMIF('V2_Units'!$A$4:$A$13,$A61,'V2_Units'!$W$4:$W$13)</x:f>
        <x:v>90</x:v>
      </x:c>
      <x:c r="L61" s="16" t="n">
        <x:f>(SUMIF('V2_Units'!$A$4:$A$13,$A61,'V2_Units'!$K$4:$K$13)*(1-E61)+SUMIF('V2_Units'!$A$4:$A$13,$A61,'V2_Units'!$L$4:$L$13)*E61+SUMIF('V2_Units'!$A$4:$A$13,$A61,'V2_Units'!$O$4:$O$13)*D61)*(1-0.15*J61)</x:f>
        <x:v>19.328999999999997</x:v>
      </x:c>
      <x:c r="M61" s="16" t="n">
        <x:f>1-G61*SUMIF('V2_Units'!$A$4:$A$13,$A61,'V2_Units'!$Q$4:$Q$13)</x:f>
        <x:v>0.808</x:v>
      </x:c>
      <x:c r="N61" s="16" t="n">
        <x:f>1+(SUMIF('V2_Units'!$A$4:$A$13,$A61,'V2_Units'!$P$4:$P$13)-1)*F61*(1-H61)</x:f>
        <x:v>1</x:v>
      </x:c>
      <x:c r="O61" s="16" t="n">
        <x:f>1+SUMIF('V2_Units'!$A$4:$A$13,$A61,'V2_Units'!$R$4:$R$13)*SUMIF('V2_Units'!$A$4:$A$13,$A61,'V2_Units'!$S$4:$S$13)*(1-I61)</x:f>
        <x:v>1.0312</x:v>
      </x:c>
      <x:c r="P61" s="16" t="n">
        <x:f>IF(OR(AND($C61="Anti-Armor",D61&gt;=0.5),AND($C61="Premium Anti-Armor",D61&gt;=0.5),AND($C61="Ranged DPS",E61&gt;=0.5),AND($C61="Mobile General",J61&gt;=0.6),AND($C61="Siege / AOE",OR($B61="Tank Line",$B61="High-Ground Defense",$B61="Narrow Choke — Ranged")),AND($C61="Premium AOE",F61&gt;=0.7),AND($C61="Swarm",F61&gt;=0.7),AND($C61="Frontline",G61&gt;=0.7)),1.12,1.00)</x:f>
        <x:v>1</x:v>
      </x:c>
      <x:c r="Q61" s="54" t="n">
        <x:f>SUMIF('V2_Units'!$A$4:$A$13,$A61,'V2_Units'!$AD$4:$AD$13)*(L61/MAX(0.01,SUMIF('V2_Units'!$A$4:$A$13,$A61,'V2_Units'!$K$4:$K$13)))*M61*N61*O61*P61</x:f>
        <x:v>0.7945818363020799</x:v>
      </x:c>
      <x:c r="R61" s="54" t="n">
        <x:f>Q61-SUMIF('V2_Units'!$A$4:$A$13,$A61,'V2_Units'!$AD$4:$AD$13)</x:f>
        <x:v>-0.21189816369792014</x:v>
      </x:c>
      <x:c r="S61" s="51" t="str">
        <x:f>IF(Q61&gt;'V2_Parameters'!$B$15,"OVER",IF(Q61&lt;'V2_Parameters'!$B$14,"UNDER","OK"))&amp;" | "&amp;IF(P61&gt;1,"role-fit","base")</x:f>
        <x:v>UNDER | base</x:v>
      </x:c>
    </x:row>
    <x:row r="62">
      <x:c r="A62" t="str">
        <x:v>Hydralisk</x:v>
      </x:c>
      <x:c r="B62" t="str">
        <x:v>Tank Line</x:v>
      </x:c>
      <x:c r="C62" t="str">
        <x:f>VLOOKUP($A62,'V2_Units'!$A$4:$B$13,2,FALSE)</x:f>
        <x:v>Ranged DPS</x:v>
      </x:c>
      <x:c r="D62" s="16" t="n">
        <x:f>SUMIF('V2_Scenarios'!$A$4:$A$12,$B62,'V2_Scenarios'!$C$4:$C$12)</x:f>
        <x:v>0.65</x:v>
      </x:c>
      <x:c r="E62" s="16" t="n">
        <x:f>SUMIF('V2_Scenarios'!$A$4:$A$12,$B62,'V2_Scenarios'!$D$4:$D$12)</x:f>
        <x:v>0.15</x:v>
      </x:c>
      <x:c r="F62" s="16" t="n">
        <x:f>SUMIF('V2_Scenarios'!$A$4:$A$12,$B62,'V2_Scenarios'!$E$4:$E$12)</x:f>
        <x:v>0.9</x:v>
      </x:c>
      <x:c r="G62" s="16" t="n">
        <x:f>SUMIF('V2_Scenarios'!$A$4:$A$12,$B62,'V2_Scenarios'!$F$4:$F$12)</x:f>
        <x:v>0.75</x:v>
      </x:c>
      <x:c r="H62" s="16" t="n">
        <x:f>SUMIF('V2_Scenarios'!$A$4:$A$12,$B62,'V2_Scenarios'!$G$4:$G$12)</x:f>
        <x:v>0.35</x:v>
      </x:c>
      <x:c r="I62" s="16" t="n">
        <x:f>SUMIF('V2_Scenarios'!$A$4:$A$12,$B62,'V2_Scenarios'!$H$4:$H$12)</x:f>
        <x:v>0.3</x:v>
      </x:c>
      <x:c r="J62" s="16" t="n">
        <x:f>SUMIF('V2_Scenarios'!$A$4:$A$12,$B62,'V2_Scenarios'!$I$4:$I$12)</x:f>
        <x:v>0.6</x:v>
      </x:c>
      <x:c r="K62" s="16" t="n">
        <x:f>SUMIF('V2_Units'!$A$4:$A$13,$A62,'V2_Units'!$W$4:$W$13)</x:f>
        <x:v>90</x:v>
      </x:c>
      <x:c r="L62" s="16" t="n">
        <x:f>(SUMIF('V2_Units'!$A$4:$A$13,$A62,'V2_Units'!$K$4:$K$13)*(1-E62)+SUMIF('V2_Units'!$A$4:$A$13,$A62,'V2_Units'!$L$4:$L$13)*E62+SUMIF('V2_Units'!$A$4:$A$13,$A62,'V2_Units'!$O$4:$O$13)*D62)*(1-0.15*J62)</x:f>
        <x:v>18.564</x:v>
      </x:c>
      <x:c r="M62" s="16" t="n">
        <x:f>1-G62*SUMIF('V2_Units'!$A$4:$A$13,$A62,'V2_Units'!$Q$4:$Q$13)</x:f>
        <x:v>0.8200000000000001</x:v>
      </x:c>
      <x:c r="N62" s="16" t="n">
        <x:f>1+(SUMIF('V2_Units'!$A$4:$A$13,$A62,'V2_Units'!$P$4:$P$13)-1)*F62*(1-H62)</x:f>
        <x:v>1</x:v>
      </x:c>
      <x:c r="O62" s="16" t="n">
        <x:f>1+SUMIF('V2_Units'!$A$4:$A$13,$A62,'V2_Units'!$R$4:$R$13)*SUMIF('V2_Units'!$A$4:$A$13,$A62,'V2_Units'!$S$4:$S$13)*(1-I62)</x:f>
        <x:v>1.0336</x:v>
      </x:c>
      <x:c r="P62" s="16" t="n">
        <x:f>IF(OR(AND($C62="Anti-Armor",D62&gt;=0.5),AND($C62="Premium Anti-Armor",D62&gt;=0.5),AND($C62="Ranged DPS",E62&gt;=0.5),AND($C62="Mobile General",J62&gt;=0.6),AND($C62="Siege / AOE",OR($B62="Tank Line",$B62="High-Ground Defense",$B62="Narrow Choke — Ranged")),AND($C62="Premium AOE",F62&gt;=0.7),AND($C62="Swarm",F62&gt;=0.7),AND($C62="Frontline",G62&gt;=0.7)),1.12,1.00)</x:f>
        <x:v>1</x:v>
      </x:c>
      <x:c r="Q62" s="54" t="n">
        <x:f>SUMIF('V2_Units'!$A$4:$A$13,$A62,'V2_Units'!$AD$4:$AD$13)*(L62/MAX(0.01,SUMIF('V2_Units'!$A$4:$A$13,$A62,'V2_Units'!$K$4:$K$13)))*M62*N62*O62*P62</x:f>
        <x:v>0.7762701646336002</x:v>
      </x:c>
      <x:c r="R62" s="54" t="n">
        <x:f>Q62-SUMIF('V2_Units'!$A$4:$A$13,$A62,'V2_Units'!$AD$4:$AD$13)</x:f>
        <x:v>-0.23020983536639983</x:v>
      </x:c>
      <x:c r="S62" s="51" t="str">
        <x:f>IF(Q62&gt;'V2_Parameters'!$B$15,"OVER",IF(Q62&lt;'V2_Parameters'!$B$14,"UNDER","OK"))&amp;" | "&amp;IF(P62&gt;1,"role-fit","base")</x:f>
        <x:v>UNDER | base</x:v>
      </x:c>
    </x:row>
    <x:row r="63">
      <x:c r="A63" t="str">
        <x:v>Hydralisk</x:v>
      </x:c>
      <x:c r="B63" t="str">
        <x:v>Massive Swarm</x:v>
      </x:c>
      <x:c r="C63" t="str">
        <x:f>VLOOKUP($A63,'V2_Units'!$A$4:$B$13,2,FALSE)</x:f>
        <x:v>Ranged DPS</x:v>
      </x:c>
      <x:c r="D63" s="16" t="n">
        <x:f>SUMIF('V2_Scenarios'!$A$4:$A$12,$B63,'V2_Scenarios'!$C$4:$C$12)</x:f>
        <x:v>0.2</x:v>
      </x:c>
      <x:c r="E63" s="16" t="n">
        <x:f>SUMIF('V2_Scenarios'!$A$4:$A$12,$B63,'V2_Scenarios'!$D$4:$D$12)</x:f>
        <x:v>0.1</x:v>
      </x:c>
      <x:c r="F63" s="16" t="n">
        <x:f>SUMIF('V2_Scenarios'!$A$4:$A$12,$B63,'V2_Scenarios'!$E$4:$E$12)</x:f>
        <x:v>0.95</x:v>
      </x:c>
      <x:c r="G63" s="16" t="n">
        <x:f>SUMIF('V2_Scenarios'!$A$4:$A$12,$B63,'V2_Scenarios'!$F$4:$F$12)</x:f>
        <x:v>0.35</x:v>
      </x:c>
      <x:c r="H63" s="16" t="n">
        <x:f>SUMIF('V2_Scenarios'!$A$4:$A$12,$B63,'V2_Scenarios'!$G$4:$G$12)</x:f>
        <x:v>0.2</x:v>
      </x:c>
      <x:c r="I63" s="16" t="n">
        <x:f>SUMIF('V2_Scenarios'!$A$4:$A$12,$B63,'V2_Scenarios'!$H$4:$H$12)</x:f>
        <x:v>0.3</x:v>
      </x:c>
      <x:c r="J63" s="16" t="n">
        <x:f>SUMIF('V2_Scenarios'!$A$4:$A$12,$B63,'V2_Scenarios'!$I$4:$I$12)</x:f>
        <x:v>0.4</x:v>
      </x:c>
      <x:c r="K63" s="16" t="n">
        <x:f>SUMIF('V2_Units'!$A$4:$A$13,$A63,'V2_Units'!$W$4:$W$13)</x:f>
        <x:v>90</x:v>
      </x:c>
      <x:c r="L63" s="16" t="n">
        <x:f>(SUMIF('V2_Units'!$A$4:$A$13,$A63,'V2_Units'!$K$4:$K$13)*(1-E63)+SUMIF('V2_Units'!$A$4:$A$13,$A63,'V2_Units'!$L$4:$L$13)*E63+SUMIF('V2_Units'!$A$4:$A$13,$A63,'V2_Units'!$O$4:$O$13)*D63)*(1-0.15*J63)</x:f>
        <x:v>19.176</x:v>
      </x:c>
      <x:c r="M63" s="16" t="n">
        <x:f>1-G63*SUMIF('V2_Units'!$A$4:$A$13,$A63,'V2_Units'!$Q$4:$Q$13)</x:f>
        <x:v>0.916</x:v>
      </x:c>
      <x:c r="N63" s="16" t="n">
        <x:f>1+(SUMIF('V2_Units'!$A$4:$A$13,$A63,'V2_Units'!$P$4:$P$13)-1)*F63*(1-H63)</x:f>
        <x:v>1</x:v>
      </x:c>
      <x:c r="O63" s="16" t="n">
        <x:f>1+SUMIF('V2_Units'!$A$4:$A$13,$A63,'V2_Units'!$R$4:$R$13)*SUMIF('V2_Units'!$A$4:$A$13,$A63,'V2_Units'!$S$4:$S$13)*(1-I63)</x:f>
        <x:v>1.0336</x:v>
      </x:c>
      <x:c r="P63" s="16" t="n">
        <x:f>IF(OR(AND($C63="Anti-Armor",D63&gt;=0.5),AND($C63="Premium Anti-Armor",D63&gt;=0.5),AND($C63="Ranged DPS",E63&gt;=0.5),AND($C63="Mobile General",J63&gt;=0.6),AND($C63="Siege / AOE",OR($B63="Tank Line",$B63="High-Ground Defense",$B63="Narrow Choke — Ranged")),AND($C63="Premium AOE",F63&gt;=0.7),AND($C63="Swarm",F63&gt;=0.7),AND($C63="Frontline",G63&gt;=0.7)),1.12,1.00)</x:f>
        <x:v>1</x:v>
      </x:c>
      <x:c r="Q63" s="54" t="n">
        <x:f>SUMIF('V2_Units'!$A$4:$A$13,$A63,'V2_Units'!$AD$4:$AD$13)*(L63/MAX(0.01,SUMIF('V2_Units'!$A$4:$A$13,$A63,'V2_Units'!$K$4:$K$13)))*M63*N63*O63*P63</x:f>
        <x:v>0.8957379557171201</x:v>
      </x:c>
      <x:c r="R63" s="54" t="n">
        <x:f>Q63-SUMIF('V2_Units'!$A$4:$A$13,$A63,'V2_Units'!$AD$4:$AD$13)</x:f>
        <x:v>-0.11074204428287993</x:v>
      </x:c>
      <x:c r="S63" s="51" t="str">
        <x:f>IF(Q63&gt;'V2_Parameters'!$B$15,"OVER",IF(Q63&lt;'V2_Parameters'!$B$14,"UNDER","OK"))&amp;" | "&amp;IF(P63&gt;1,"role-fit","base")</x:f>
        <x:v>UNDER | base</x:v>
      </x:c>
    </x:row>
    <x:row r="64">
      <x:c r="A64" t="str">
        <x:v>Hydralisk</x:v>
      </x:c>
      <x:c r="B64" t="str">
        <x:v>High-Ground Defense</x:v>
      </x:c>
      <x:c r="C64" t="str">
        <x:f>VLOOKUP($A64,'V2_Units'!$A$4:$B$13,2,FALSE)</x:f>
        <x:v>Ranged DPS</x:v>
      </x:c>
      <x:c r="D64" s="16" t="n">
        <x:f>SUMIF('V2_Scenarios'!$A$4:$A$12,$B64,'V2_Scenarios'!$C$4:$C$12)</x:f>
        <x:v>0.55</x:v>
      </x:c>
      <x:c r="E64" s="16" t="n">
        <x:f>SUMIF('V2_Scenarios'!$A$4:$A$12,$B64,'V2_Scenarios'!$D$4:$D$12)</x:f>
        <x:v>0.15</x:v>
      </x:c>
      <x:c r="F64" s="16" t="n">
        <x:f>SUMIF('V2_Scenarios'!$A$4:$A$12,$B64,'V2_Scenarios'!$E$4:$E$12)</x:f>
        <x:v>0.7</x:v>
      </x:c>
      <x:c r="G64" s="16" t="n">
        <x:f>SUMIF('V2_Scenarios'!$A$4:$A$12,$B64,'V2_Scenarios'!$F$4:$F$12)</x:f>
        <x:v>0.55</x:v>
      </x:c>
      <x:c r="H64" s="16" t="n">
        <x:f>SUMIF('V2_Scenarios'!$A$4:$A$12,$B64,'V2_Scenarios'!$G$4:$G$12)</x:f>
        <x:v>0.5</x:v>
      </x:c>
      <x:c r="I64" s="16" t="n">
        <x:f>SUMIF('V2_Scenarios'!$A$4:$A$12,$B64,'V2_Scenarios'!$H$4:$H$12)</x:f>
        <x:v>0.3</x:v>
      </x:c>
      <x:c r="J64" s="16" t="n">
        <x:f>SUMIF('V2_Scenarios'!$A$4:$A$12,$B64,'V2_Scenarios'!$I$4:$I$12)</x:f>
        <x:v>0.55</x:v>
      </x:c>
      <x:c r="K64" s="16" t="n">
        <x:f>SUMIF('V2_Units'!$A$4:$A$13,$A64,'V2_Units'!$W$4:$W$13)</x:f>
        <x:v>90</x:v>
      </x:c>
      <x:c r="L64" s="16" t="n">
        <x:f>(SUMIF('V2_Units'!$A$4:$A$13,$A64,'V2_Units'!$K$4:$K$13)*(1-E64)+SUMIF('V2_Units'!$A$4:$A$13,$A64,'V2_Units'!$L$4:$L$13)*E64+SUMIF('V2_Units'!$A$4:$A$13,$A64,'V2_Units'!$O$4:$O$13)*D64)*(1-0.15*J64)</x:f>
        <x:v>18.717</x:v>
      </x:c>
      <x:c r="M64" s="16" t="n">
        <x:f>1-G64*SUMIF('V2_Units'!$A$4:$A$13,$A64,'V2_Units'!$Q$4:$Q$13)</x:f>
        <x:v>0.868</x:v>
      </x:c>
      <x:c r="N64" s="16" t="n">
        <x:f>1+(SUMIF('V2_Units'!$A$4:$A$13,$A64,'V2_Units'!$P$4:$P$13)-1)*F64*(1-H64)</x:f>
        <x:v>1</x:v>
      </x:c>
      <x:c r="O64" s="16" t="n">
        <x:f>1+SUMIF('V2_Units'!$A$4:$A$13,$A64,'V2_Units'!$R$4:$R$13)*SUMIF('V2_Units'!$A$4:$A$13,$A64,'V2_Units'!$S$4:$S$13)*(1-I64)</x:f>
        <x:v>1.0336</x:v>
      </x:c>
      <x:c r="P64" s="16" t="n">
        <x:f>IF(OR(AND($C64="Anti-Armor",D64&gt;=0.5),AND($C64="Premium Anti-Armor",D64&gt;=0.5),AND($C64="Ranged DPS",E64&gt;=0.5),AND($C64="Mobile General",J64&gt;=0.6),AND($C64="Siege / AOE",OR($B64="Tank Line",$B64="High-Ground Defense",$B64="Narrow Choke — Ranged")),AND($C64="Premium AOE",F64&gt;=0.7),AND($C64="Swarm",F64&gt;=0.7),AND($C64="Frontline",G64&gt;=0.7)),1.12,1.00)</x:f>
        <x:v>1</x:v>
      </x:c>
      <x:c r="Q64" s="54" t="n">
        <x:f>SUMIF('V2_Units'!$A$4:$A$13,$A64,'V2_Units'!$AD$4:$AD$13)*(L64/MAX(0.01,SUMIF('V2_Units'!$A$4:$A$13,$A64,'V2_Units'!$K$4:$K$13)))*M64*N64*O64*P64</x:f>
        <x:v>0.82848270760192</x:v>
      </x:c>
      <x:c r="R64" s="54" t="n">
        <x:f>Q64-SUMIF('V2_Units'!$A$4:$A$13,$A64,'V2_Units'!$AD$4:$AD$13)</x:f>
        <x:v>-0.17799729239808004</x:v>
      </x:c>
      <x:c r="S64" s="51" t="str">
        <x:f>IF(Q64&gt;'V2_Parameters'!$B$15,"OVER",IF(Q64&lt;'V2_Parameters'!$B$14,"UNDER","OK"))&amp;" | "&amp;IF(P64&gt;1,"role-fit","base")</x:f>
        <x:v>UNDER | base</x:v>
      </x:c>
    </x:row>
    <x:row r="65">
      <x:c r="A65" t="str">
        <x:v>Hydralisk</x:v>
      </x:c>
      <x:c r="B65" t="str">
        <x:v>Anti-Air Screen</x:v>
      </x:c>
      <x:c r="C65" t="str">
        <x:f>VLOOKUP($A65,'V2_Units'!$A$4:$B$13,2,FALSE)</x:f>
        <x:v>Ranged DPS</x:v>
      </x:c>
      <x:c r="D65" s="16" t="n">
        <x:f>SUMIF('V2_Scenarios'!$A$4:$A$12,$B65,'V2_Scenarios'!$C$4:$C$12)</x:f>
        <x:v>0.2</x:v>
      </x:c>
      <x:c r="E65" s="16" t="n">
        <x:f>SUMIF('V2_Scenarios'!$A$4:$A$12,$B65,'V2_Scenarios'!$D$4:$D$12)</x:f>
        <x:v>0.8</x:v>
      </x:c>
      <x:c r="F65" s="16" t="n">
        <x:f>SUMIF('V2_Scenarios'!$A$4:$A$12,$B65,'V2_Scenarios'!$E$4:$E$12)</x:f>
        <x:v>0.6</x:v>
      </x:c>
      <x:c r="G65" s="16" t="n">
        <x:f>SUMIF('V2_Scenarios'!$A$4:$A$12,$B65,'V2_Scenarios'!$F$4:$F$12)</x:f>
        <x:v>0.45</x:v>
      </x:c>
      <x:c r="H65" s="16" t="n">
        <x:f>SUMIF('V2_Scenarios'!$A$4:$A$12,$B65,'V2_Scenarios'!$G$4:$G$12)</x:f>
        <x:v>0.55</x:v>
      </x:c>
      <x:c r="I65" s="16" t="n">
        <x:f>SUMIF('V2_Scenarios'!$A$4:$A$12,$B65,'V2_Scenarios'!$H$4:$H$12)</x:f>
        <x:v>0.25</x:v>
      </x:c>
      <x:c r="J65" s="16" t="n">
        <x:f>SUMIF('V2_Scenarios'!$A$4:$A$12,$B65,'V2_Scenarios'!$I$4:$I$12)</x:f>
        <x:v>0.45</x:v>
      </x:c>
      <x:c r="K65" s="16" t="n">
        <x:f>SUMIF('V2_Units'!$A$4:$A$13,$A65,'V2_Units'!$W$4:$W$13)</x:f>
        <x:v>90</x:v>
      </x:c>
      <x:c r="L65" s="16" t="n">
        <x:f>(SUMIF('V2_Units'!$A$4:$A$13,$A65,'V2_Units'!$K$4:$K$13)*(1-E65)+SUMIF('V2_Units'!$A$4:$A$13,$A65,'V2_Units'!$L$4:$L$13)*E65+SUMIF('V2_Units'!$A$4:$A$13,$A65,'V2_Units'!$O$4:$O$13)*D65)*(1-0.15*J65)</x:f>
        <x:v>19.023</x:v>
      </x:c>
      <x:c r="M65" s="16" t="n">
        <x:f>1-G65*SUMIF('V2_Units'!$A$4:$A$13,$A65,'V2_Units'!$Q$4:$Q$13)</x:f>
        <x:v>0.892</x:v>
      </x:c>
      <x:c r="N65" s="16" t="n">
        <x:f>1+(SUMIF('V2_Units'!$A$4:$A$13,$A65,'V2_Units'!$P$4:$P$13)-1)*F65*(1-H65)</x:f>
        <x:v>1</x:v>
      </x:c>
      <x:c r="O65" s="16" t="n">
        <x:f>1+SUMIF('V2_Units'!$A$4:$A$13,$A65,'V2_Units'!$R$4:$R$13)*SUMIF('V2_Units'!$A$4:$A$13,$A65,'V2_Units'!$S$4:$S$13)*(1-I65)</x:f>
        <x:v>1.036</x:v>
      </x:c>
      <x:c r="P65" s="16" t="n">
        <x:f>IF(OR(AND($C65="Anti-Armor",D65&gt;=0.5),AND($C65="Premium Anti-Armor",D65&gt;=0.5),AND($C65="Ranged DPS",E65&gt;=0.5),AND($C65="Mobile General",J65&gt;=0.6),AND($C65="Siege / AOE",OR($B65="Tank Line",$B65="High-Ground Defense",$B65="Narrow Choke — Ranged")),AND($C65="Premium AOE",F65&gt;=0.7),AND($C65="Swarm",F65&gt;=0.7),AND($C65="Frontline",G65&gt;=0.7)),1.12,1.00)</x:f>
        <x:v>1.12</x:v>
      </x:c>
      <x:c r="Q65" s="54" t="n">
        <x:f>SUMIF('V2_Units'!$A$4:$A$13,$A65,'V2_Units'!$AD$4:$AD$13)*(L65/MAX(0.01,SUMIF('V2_Units'!$A$4:$A$13,$A65,'V2_Units'!$K$4:$K$13)))*M65*N65*O65*P65</x:f>
        <x:v>0.9713966966717441</x:v>
      </x:c>
      <x:c r="R65" s="54" t="n">
        <x:f>Q65-SUMIF('V2_Units'!$A$4:$A$13,$A65,'V2_Units'!$AD$4:$AD$13)</x:f>
        <x:v>-0.03508330332825593</x:v>
      </x:c>
      <x:c r="S65" s="51" t="str">
        <x:f>IF(Q65&gt;'V2_Parameters'!$B$15,"OVER",IF(Q65&lt;'V2_Parameters'!$B$14,"UNDER","OK"))&amp;" | "&amp;IF(P65&gt;1,"role-fit","base")</x:f>
        <x:v>OK | role-fit</x:v>
      </x:c>
    </x:row>
    <x:row r="66">
      <x:c r="A66" t="str">
        <x:v>Hydralisk</x:v>
      </x:c>
      <x:c r="B66" t="str">
        <x:v>Kite Scenario</x:v>
      </x:c>
      <x:c r="C66" t="str">
        <x:f>VLOOKUP($A66,'V2_Units'!$A$4:$B$13,2,FALSE)</x:f>
        <x:v>Ranged DPS</x:v>
      </x:c>
      <x:c r="D66" s="16" t="n">
        <x:f>SUMIF('V2_Scenarios'!$A$4:$A$12,$B66,'V2_Scenarios'!$C$4:$C$12)</x:f>
        <x:v>0.25</x:v>
      </x:c>
      <x:c r="E66" s="16" t="n">
        <x:f>SUMIF('V2_Scenarios'!$A$4:$A$12,$B66,'V2_Scenarios'!$D$4:$D$12)</x:f>
        <x:v>0.2</x:v>
      </x:c>
      <x:c r="F66" s="16" t="n">
        <x:f>SUMIF('V2_Scenarios'!$A$4:$A$12,$B66,'V2_Scenarios'!$E$4:$E$12)</x:f>
        <x:v>0.55</x:v>
      </x:c>
      <x:c r="G66" s="16" t="n">
        <x:f>SUMIF('V2_Scenarios'!$A$4:$A$12,$B66,'V2_Scenarios'!$F$4:$F$12)</x:f>
        <x:v>0.3</x:v>
      </x:c>
      <x:c r="H66" s="16" t="n">
        <x:f>SUMIF('V2_Scenarios'!$A$4:$A$12,$B66,'V2_Scenarios'!$G$4:$G$12)</x:f>
        <x:v>0.65</x:v>
      </x:c>
      <x:c r="I66" s="16" t="n">
        <x:f>SUMIF('V2_Scenarios'!$A$4:$A$12,$B66,'V2_Scenarios'!$H$4:$H$12)</x:f>
        <x:v>0.45</x:v>
      </x:c>
      <x:c r="J66" s="16" t="n">
        <x:f>SUMIF('V2_Scenarios'!$A$4:$A$12,$B66,'V2_Scenarios'!$I$4:$I$12)</x:f>
        <x:v>0.8</x:v>
      </x:c>
      <x:c r="K66" s="16" t="n">
        <x:f>SUMIF('V2_Units'!$A$4:$A$13,$A66,'V2_Units'!$W$4:$W$13)</x:f>
        <x:v>90</x:v>
      </x:c>
      <x:c r="L66" s="16" t="n">
        <x:f>(SUMIF('V2_Units'!$A$4:$A$13,$A66,'V2_Units'!$K$4:$K$13)*(1-E66)+SUMIF('V2_Units'!$A$4:$A$13,$A66,'V2_Units'!$L$4:$L$13)*E66+SUMIF('V2_Units'!$A$4:$A$13,$A66,'V2_Units'!$O$4:$O$13)*D66)*(1-0.15*J66)</x:f>
        <x:v>17.951999999999998</x:v>
      </x:c>
      <x:c r="M66" s="16" t="n">
        <x:f>1-G66*SUMIF('V2_Units'!$A$4:$A$13,$A66,'V2_Units'!$Q$4:$Q$13)</x:f>
        <x:v>0.928</x:v>
      </x:c>
      <x:c r="N66" s="16" t="n">
        <x:f>1+(SUMIF('V2_Units'!$A$4:$A$13,$A66,'V2_Units'!$P$4:$P$13)-1)*F66*(1-H66)</x:f>
        <x:v>1</x:v>
      </x:c>
      <x:c r="O66" s="16" t="n">
        <x:f>1+SUMIF('V2_Units'!$A$4:$A$13,$A66,'V2_Units'!$R$4:$R$13)*SUMIF('V2_Units'!$A$4:$A$13,$A66,'V2_Units'!$S$4:$S$13)*(1-I66)</x:f>
        <x:v>1.0264</x:v>
      </x:c>
      <x:c r="P66" s="16" t="n">
        <x:f>IF(OR(AND($C66="Anti-Armor",D66&gt;=0.5),AND($C66="Premium Anti-Armor",D66&gt;=0.5),AND($C66="Ranged DPS",E66&gt;=0.5),AND($C66="Mobile General",J66&gt;=0.6),AND($C66="Siege / AOE",OR($B66="Tank Line",$B66="High-Ground Defense",$B66="Narrow Choke — Ranged")),AND($C66="Premium AOE",F66&gt;=0.7),AND($C66="Swarm",F66&gt;=0.7),AND($C66="Frontline",G66&gt;=0.7)),1.12,1.00)</x:f>
        <x:v>1</x:v>
      </x:c>
      <x:c r="Q66" s="54" t="n">
        <x:f>SUMIF('V2_Units'!$A$4:$A$13,$A66,'V2_Units'!$AD$4:$AD$13)*(L66/MAX(0.01,SUMIF('V2_Units'!$A$4:$A$13,$A66,'V2_Units'!$K$4:$K$13)))*M66*N66*O66*P66</x:f>
        <x:v>0.84363082743808</x:v>
      </x:c>
      <x:c r="R66" s="54" t="n">
        <x:f>Q66-SUMIF('V2_Units'!$A$4:$A$13,$A66,'V2_Units'!$AD$4:$AD$13)</x:f>
        <x:v>-0.16284917256192</x:v>
      </x:c>
      <x:c r="S66" s="51" t="str">
        <x:f>IF(Q66&gt;'V2_Parameters'!$B$15,"OVER",IF(Q66&lt;'V2_Parameters'!$B$14,"UNDER","OK"))&amp;" | "&amp;IF(P66&gt;1,"role-fit","base")</x:f>
        <x:v>UNDER | base</x:v>
      </x:c>
    </x:row>
    <x:row r="67">
      <x:c r="A67" t="str">
        <x:v>Immortal</x:v>
      </x:c>
      <x:c r="B67" t="str">
        <x:v>Open Field — Light Mass</x:v>
      </x:c>
      <x:c r="C67" t="str">
        <x:f>VLOOKUP($A67,'V2_Units'!$A$4:$B$13,2,FALSE)</x:f>
        <x:v>Premium Anti-Armor</x:v>
      </x:c>
      <x:c r="D67" s="16" t="n">
        <x:f>SUMIF('V2_Scenarios'!$A$4:$A$12,$B67,'V2_Scenarios'!$C$4:$C$12)</x:f>
        <x:v>0.1</x:v>
      </x:c>
      <x:c r="E67" s="16" t="n">
        <x:f>SUMIF('V2_Scenarios'!$A$4:$A$12,$B67,'V2_Scenarios'!$D$4:$D$12)</x:f>
        <x:v>0.2</x:v>
      </x:c>
      <x:c r="F67" s="16" t="n">
        <x:f>SUMIF('V2_Scenarios'!$A$4:$A$12,$B67,'V2_Scenarios'!$E$4:$E$12)</x:f>
        <x:v>0.45</x:v>
      </x:c>
      <x:c r="G67" s="16" t="n">
        <x:f>SUMIF('V2_Scenarios'!$A$4:$A$12,$B67,'V2_Scenarios'!$F$4:$F$12)</x:f>
        <x:v>0.2</x:v>
      </x:c>
      <x:c r="H67" s="16" t="n">
        <x:f>SUMIF('V2_Scenarios'!$A$4:$A$12,$B67,'V2_Scenarios'!$G$4:$G$12)</x:f>
        <x:v>0.6</x:v>
      </x:c>
      <x:c r="I67" s="16" t="n">
        <x:f>SUMIF('V2_Scenarios'!$A$4:$A$12,$B67,'V2_Scenarios'!$H$4:$H$12)</x:f>
        <x:v>0.35</x:v>
      </x:c>
      <x:c r="J67" s="16" t="n">
        <x:f>SUMIF('V2_Scenarios'!$A$4:$A$12,$B67,'V2_Scenarios'!$I$4:$I$12)</x:f>
        <x:v>0.25</x:v>
      </x:c>
      <x:c r="K67" s="16" t="n">
        <x:f>SUMIF('V2_Units'!$A$4:$A$13,$A67,'V2_Units'!$W$4:$W$13)</x:f>
        <x:v>300</x:v>
      </x:c>
      <x:c r="L67" s="16" t="n">
        <x:f>(SUMIF('V2_Units'!$A$4:$A$13,$A67,'V2_Units'!$K$4:$K$13)*(1-E67)+SUMIF('V2_Units'!$A$4:$A$13,$A67,'V2_Units'!$L$4:$L$13)*E67+SUMIF('V2_Units'!$A$4:$A$13,$A67,'V2_Units'!$O$4:$O$13)*D67)*(1-0.15*J67)</x:f>
        <x:v>16.001562500000002</x:v>
      </x:c>
      <x:c r="M67" s="16" t="n">
        <x:f>1-G67*SUMIF('V2_Units'!$A$4:$A$13,$A67,'V2_Units'!$Q$4:$Q$13)</x:f>
        <x:v>0.89</x:v>
      </x:c>
      <x:c r="N67" s="16" t="n">
        <x:f>1+(SUMIF('V2_Units'!$A$4:$A$13,$A67,'V2_Units'!$P$4:$P$13)-1)*F67*(1-H67)</x:f>
        <x:v>1</x:v>
      </x:c>
      <x:c r="O67" s="16" t="n">
        <x:f>1+SUMIF('V2_Units'!$A$4:$A$13,$A67,'V2_Units'!$R$4:$R$13)*SUMIF('V2_Units'!$A$4:$A$13,$A67,'V2_Units'!$S$4:$S$13)*(1-I67)</x:f>
        <x:v>1.091</x:v>
      </x:c>
      <x:c r="P67" s="16" t="n">
        <x:f>IF(OR(AND($C67="Anti-Armor",D67&gt;=0.5),AND($C67="Premium Anti-Armor",D67&gt;=0.5),AND($C67="Ranged DPS",E67&gt;=0.5),AND($C67="Mobile General",J67&gt;=0.6),AND($C67="Siege / AOE",OR($B67="Tank Line",$B67="High-Ground Defense",$B67="Narrow Choke — Ranged")),AND($C67="Premium AOE",F67&gt;=0.7),AND($C67="Swarm",F67&gt;=0.7),AND($C67="Frontline",G67&gt;=0.7)),1.12,1.00)</x:f>
        <x:v>1</x:v>
      </x:c>
      <x:c r="Q67" s="54" t="n">
        <x:f>SUMIF('V2_Units'!$A$4:$A$13,$A67,'V2_Units'!$AD$4:$AD$13)*(L67/MAX(0.01,SUMIF('V2_Units'!$A$4:$A$13,$A67,'V2_Units'!$K$4:$K$13)))*M67*N67*O67*P67</x:f>
        <x:v>0.9924819836903126</x:v>
      </x:c>
      <x:c r="R67" s="54" t="n">
        <x:f>Q67-SUMIF('V2_Units'!$A$4:$A$13,$A67,'V2_Units'!$AD$4:$AD$13)</x:f>
        <x:v>-0.1253680163096874</x:v>
      </x:c>
      <x:c r="S67" s="51" t="str">
        <x:f>IF(Q67&gt;'V2_Parameters'!$B$15,"OVER",IF(Q67&lt;'V2_Parameters'!$B$14,"UNDER","OK"))&amp;" | "&amp;IF(P67&gt;1,"role-fit","base")</x:f>
        <x:v>OK | base</x:v>
      </x:c>
    </x:row>
    <x:row r="68">
      <x:c r="A68" t="str">
        <x:v>Immortal</x:v>
      </x:c>
      <x:c r="B68" t="str">
        <x:v>Open Field — Armored</x:v>
      </x:c>
      <x:c r="C68" t="str">
        <x:f>VLOOKUP($A68,'V2_Units'!$A$4:$B$13,2,FALSE)</x:f>
        <x:v>Premium Anti-Armor</x:v>
      </x:c>
      <x:c r="D68" s="16" t="n">
        <x:f>SUMIF('V2_Scenarios'!$A$4:$A$12,$B68,'V2_Scenarios'!$C$4:$C$12)</x:f>
        <x:v>0.85</x:v>
      </x:c>
      <x:c r="E68" s="16" t="n">
        <x:f>SUMIF('V2_Scenarios'!$A$4:$A$12,$B68,'V2_Scenarios'!$D$4:$D$12)</x:f>
        <x:v>0.15</x:v>
      </x:c>
      <x:c r="F68" s="16" t="n">
        <x:f>SUMIF('V2_Scenarios'!$A$4:$A$12,$B68,'V2_Scenarios'!$E$4:$E$12)</x:f>
        <x:v>0.45</x:v>
      </x:c>
      <x:c r="G68" s="16" t="n">
        <x:f>SUMIF('V2_Scenarios'!$A$4:$A$12,$B68,'V2_Scenarios'!$F$4:$F$12)</x:f>
        <x:v>0.2</x:v>
      </x:c>
      <x:c r="H68" s="16" t="n">
        <x:f>SUMIF('V2_Scenarios'!$A$4:$A$12,$B68,'V2_Scenarios'!$G$4:$G$12)</x:f>
        <x:v>0.6</x:v>
      </x:c>
      <x:c r="I68" s="16" t="n">
        <x:f>SUMIF('V2_Scenarios'!$A$4:$A$12,$B68,'V2_Scenarios'!$H$4:$H$12)</x:f>
        <x:v>0.35</x:v>
      </x:c>
      <x:c r="J68" s="16" t="n">
        <x:f>SUMIF('V2_Scenarios'!$A$4:$A$12,$B68,'V2_Scenarios'!$I$4:$I$12)</x:f>
        <x:v>0.35</x:v>
      </x:c>
      <x:c r="K68" s="16" t="n">
        <x:f>SUMIF('V2_Units'!$A$4:$A$13,$A68,'V2_Units'!$W$4:$W$13)</x:f>
        <x:v>300</x:v>
      </x:c>
      <x:c r="L68" s="16" t="n">
        <x:f>(SUMIF('V2_Units'!$A$4:$A$13,$A68,'V2_Units'!$K$4:$K$13)*(1-E68)+SUMIF('V2_Units'!$A$4:$A$13,$A68,'V2_Units'!$L$4:$L$13)*E68+SUMIF('V2_Units'!$A$4:$A$13,$A68,'V2_Units'!$O$4:$O$13)*D68)*(1-0.15*J68)</x:f>
        <x:v>35.23515625</x:v>
      </x:c>
      <x:c r="M68" s="16" t="n">
        <x:f>1-G68*SUMIF('V2_Units'!$A$4:$A$13,$A68,'V2_Units'!$Q$4:$Q$13)</x:f>
        <x:v>0.89</x:v>
      </x:c>
      <x:c r="N68" s="16" t="n">
        <x:f>1+(SUMIF('V2_Units'!$A$4:$A$13,$A68,'V2_Units'!$P$4:$P$13)-1)*F68*(1-H68)</x:f>
        <x:v>1</x:v>
      </x:c>
      <x:c r="O68" s="16" t="n">
        <x:f>1+SUMIF('V2_Units'!$A$4:$A$13,$A68,'V2_Units'!$R$4:$R$13)*SUMIF('V2_Units'!$A$4:$A$13,$A68,'V2_Units'!$S$4:$S$13)*(1-I68)</x:f>
        <x:v>1.091</x:v>
      </x:c>
      <x:c r="P68" s="16" t="n">
        <x:f>IF(OR(AND($C68="Anti-Armor",D68&gt;=0.5),AND($C68="Premium Anti-Armor",D68&gt;=0.5),AND($C68="Ranged DPS",E68&gt;=0.5),AND($C68="Mobile General",J68&gt;=0.6),AND($C68="Siege / AOE",OR($B68="Tank Line",$B68="High-Ground Defense",$B68="Narrow Choke — Ranged")),AND($C68="Premium AOE",F68&gt;=0.7),AND($C68="Swarm",F68&gt;=0.7),AND($C68="Frontline",G68&gt;=0.7)),1.12,1.00)</x:f>
        <x:v>1.12</x:v>
      </x:c>
      <x:c r="Q68" s="54" t="n">
        <x:f>SUMIF('V2_Units'!$A$4:$A$13,$A68,'V2_Units'!$AD$4:$AD$13)*(L68/MAX(0.01,SUMIF('V2_Units'!$A$4:$A$13,$A68,'V2_Units'!$K$4:$K$13)))*M68*N68*O68*P68</x:f>
        <x:v>2.4476790127910752</x:v>
      </x:c>
      <x:c r="R68" s="54" t="n">
        <x:f>Q68-SUMIF('V2_Units'!$A$4:$A$13,$A68,'V2_Units'!$AD$4:$AD$13)</x:f>
        <x:v>1.3298290127910752</x:v>
      </x:c>
      <x:c r="S68" s="51" t="str">
        <x:f>IF(Q68&gt;'V2_Parameters'!$B$15,"OVER",IF(Q68&lt;'V2_Parameters'!$B$14,"UNDER","OK"))&amp;" | "&amp;IF(P68&gt;1,"role-fit","base")</x:f>
        <x:v>OVER | role-fit</x:v>
      </x:c>
    </x:row>
    <x:row r="69">
      <x:c r="A69" t="str">
        <x:v>Immortal</x:v>
      </x:c>
      <x:c r="B69" t="str">
        <x:v>Narrow Choke — Melee</x:v>
      </x:c>
      <x:c r="C69" t="str">
        <x:f>VLOOKUP($A69,'V2_Units'!$A$4:$B$13,2,FALSE)</x:f>
        <x:v>Premium Anti-Armor</x:v>
      </x:c>
      <x:c r="D69" s="16" t="n">
        <x:f>SUMIF('V2_Scenarios'!$A$4:$A$12,$B69,'V2_Scenarios'!$C$4:$C$12)</x:f>
        <x:v>0.35</x:v>
      </x:c>
      <x:c r="E69" s="16" t="n">
        <x:f>SUMIF('V2_Scenarios'!$A$4:$A$12,$B69,'V2_Scenarios'!$D$4:$D$12)</x:f>
        <x:v>0.1</x:v>
      </x:c>
      <x:c r="F69" s="16" t="n">
        <x:f>SUMIF('V2_Scenarios'!$A$4:$A$12,$B69,'V2_Scenarios'!$E$4:$E$12)</x:f>
        <x:v>0.85</x:v>
      </x:c>
      <x:c r="G69" s="16" t="n">
        <x:f>SUMIF('V2_Scenarios'!$A$4:$A$12,$B69,'V2_Scenarios'!$F$4:$F$12)</x:f>
        <x:v>0.85</x:v>
      </x:c>
      <x:c r="H69" s="16" t="n">
        <x:f>SUMIF('V2_Scenarios'!$A$4:$A$12,$B69,'V2_Scenarios'!$G$4:$G$12)</x:f>
        <x:v>0.25</x:v>
      </x:c>
      <x:c r="I69" s="16" t="n">
        <x:f>SUMIF('V2_Scenarios'!$A$4:$A$12,$B69,'V2_Scenarios'!$H$4:$H$12)</x:f>
        <x:v>0.4</x:v>
      </x:c>
      <x:c r="J69" s="16" t="n">
        <x:f>SUMIF('V2_Scenarios'!$A$4:$A$12,$B69,'V2_Scenarios'!$I$4:$I$12)</x:f>
        <x:v>0.45</x:v>
      </x:c>
      <x:c r="K69" s="16" t="n">
        <x:f>SUMIF('V2_Units'!$A$4:$A$13,$A69,'V2_Units'!$W$4:$W$13)</x:f>
        <x:v>300</x:v>
      </x:c>
      <x:c r="L69" s="16" t="n">
        <x:f>(SUMIF('V2_Units'!$A$4:$A$13,$A69,'V2_Units'!$K$4:$K$13)*(1-E69)+SUMIF('V2_Units'!$A$4:$A$13,$A69,'V2_Units'!$L$4:$L$13)*E69+SUMIF('V2_Units'!$A$4:$A$13,$A69,'V2_Units'!$O$4:$O$13)*D69)*(1-0.15*J69)</x:f>
        <x:v>23.25421875</x:v>
      </x:c>
      <x:c r="M69" s="16" t="n">
        <x:f>1-G69*SUMIF('V2_Units'!$A$4:$A$13,$A69,'V2_Units'!$Q$4:$Q$13)</x:f>
        <x:v>0.5325</x:v>
      </x:c>
      <x:c r="N69" s="16" t="n">
        <x:f>1+(SUMIF('V2_Units'!$A$4:$A$13,$A69,'V2_Units'!$P$4:$P$13)-1)*F69*(1-H69)</x:f>
        <x:v>1</x:v>
      </x:c>
      <x:c r="O69" s="16" t="n">
        <x:f>1+SUMIF('V2_Units'!$A$4:$A$13,$A69,'V2_Units'!$R$4:$R$13)*SUMIF('V2_Units'!$A$4:$A$13,$A69,'V2_Units'!$S$4:$S$13)*(1-I69)</x:f>
        <x:v>1.084</x:v>
      </x:c>
      <x:c r="P69" s="16" t="n">
        <x:f>IF(OR(AND($C69="Anti-Armor",D69&gt;=0.5),AND($C69="Premium Anti-Armor",D69&gt;=0.5),AND($C69="Ranged DPS",E69&gt;=0.5),AND($C69="Mobile General",J69&gt;=0.6),AND($C69="Siege / AOE",OR($B69="Tank Line",$B69="High-Ground Defense",$B69="Narrow Choke — Ranged")),AND($C69="Premium AOE",F69&gt;=0.7),AND($C69="Swarm",F69&gt;=0.7),AND($C69="Frontline",G69&gt;=0.7)),1.12,1.00)</x:f>
        <x:v>1</x:v>
      </x:c>
      <x:c r="Q69" s="54" t="n">
        <x:f>SUMIF('V2_Units'!$A$4:$A$13,$A69,'V2_Units'!$AD$4:$AD$13)*(L69/MAX(0.01,SUMIF('V2_Units'!$A$4:$A$13,$A69,'V2_Units'!$K$4:$K$13)))*M69*N69*O69*P69</x:f>
        <x:v>0.8574249766553438</x:v>
      </x:c>
      <x:c r="R69" s="54" t="n">
        <x:f>Q69-SUMIF('V2_Units'!$A$4:$A$13,$A69,'V2_Units'!$AD$4:$AD$13)</x:f>
        <x:v>-0.2604250233446562</x:v>
      </x:c>
      <x:c r="S69" s="51" t="str">
        <x:f>IF(Q69&gt;'V2_Parameters'!$B$15,"OVER",IF(Q69&lt;'V2_Parameters'!$B$14,"UNDER","OK"))&amp;" | "&amp;IF(P69&gt;1,"role-fit","base")</x:f>
        <x:v>UNDER | base</x:v>
      </x:c>
    </x:row>
    <x:row r="70">
      <x:c r="A70" t="str">
        <x:v>Immortal</x:v>
      </x:c>
      <x:c r="B70" t="str">
        <x:v>Narrow Choke — Ranged</x:v>
      </x:c>
      <x:c r="C70" t="str">
        <x:f>VLOOKUP($A70,'V2_Units'!$A$4:$B$13,2,FALSE)</x:f>
        <x:v>Premium Anti-Armor</x:v>
      </x:c>
      <x:c r="D70" s="16" t="n">
        <x:f>SUMIF('V2_Scenarios'!$A$4:$A$12,$B70,'V2_Scenarios'!$C$4:$C$12)</x:f>
        <x:v>0.5</x:v>
      </x:c>
      <x:c r="E70" s="16" t="n">
        <x:f>SUMIF('V2_Scenarios'!$A$4:$A$12,$B70,'V2_Scenarios'!$D$4:$D$12)</x:f>
        <x:v>0.2</x:v>
      </x:c>
      <x:c r="F70" s="16" t="n">
        <x:f>SUMIF('V2_Scenarios'!$A$4:$A$12,$B70,'V2_Scenarios'!$E$4:$E$12)</x:f>
        <x:v>0.75</x:v>
      </x:c>
      <x:c r="G70" s="16" t="n">
        <x:f>SUMIF('V2_Scenarios'!$A$4:$A$12,$B70,'V2_Scenarios'!$F$4:$F$12)</x:f>
        <x:v>0.8</x:v>
      </x:c>
      <x:c r="H70" s="16" t="n">
        <x:f>SUMIF('V2_Scenarios'!$A$4:$A$12,$B70,'V2_Scenarios'!$G$4:$G$12)</x:f>
        <x:v>0.3</x:v>
      </x:c>
      <x:c r="I70" s="16" t="n">
        <x:f>SUMIF('V2_Scenarios'!$A$4:$A$12,$B70,'V2_Scenarios'!$H$4:$H$12)</x:f>
        <x:v>0.35</x:v>
      </x:c>
      <x:c r="J70" s="16" t="n">
        <x:f>SUMIF('V2_Scenarios'!$A$4:$A$12,$B70,'V2_Scenarios'!$I$4:$I$12)</x:f>
        <x:v>0.35</x:v>
      </x:c>
      <x:c r="K70" s="16" t="n">
        <x:f>SUMIF('V2_Units'!$A$4:$A$13,$A70,'V2_Units'!$W$4:$W$13)</x:f>
        <x:v>300</x:v>
      </x:c>
      <x:c r="L70" s="16" t="n">
        <x:f>(SUMIF('V2_Units'!$A$4:$A$13,$A70,'V2_Units'!$K$4:$K$13)*(1-E70)+SUMIF('V2_Units'!$A$4:$A$13,$A70,'V2_Units'!$L$4:$L$13)*E70+SUMIF('V2_Units'!$A$4:$A$13,$A70,'V2_Units'!$O$4:$O$13)*D70)*(1-0.15*J70)</x:f>
        <x:v>25.700937500000002</x:v>
      </x:c>
      <x:c r="M70" s="16" t="n">
        <x:f>1-G70*SUMIF('V2_Units'!$A$4:$A$13,$A70,'V2_Units'!$Q$4:$Q$13)</x:f>
        <x:v>0.5599999999999999</x:v>
      </x:c>
      <x:c r="N70" s="16" t="n">
        <x:f>1+(SUMIF('V2_Units'!$A$4:$A$13,$A70,'V2_Units'!$P$4:$P$13)-1)*F70*(1-H70)</x:f>
        <x:v>1</x:v>
      </x:c>
      <x:c r="O70" s="16" t="n">
        <x:f>1+SUMIF('V2_Units'!$A$4:$A$13,$A70,'V2_Units'!$R$4:$R$13)*SUMIF('V2_Units'!$A$4:$A$13,$A70,'V2_Units'!$S$4:$S$13)*(1-I70)</x:f>
        <x:v>1.091</x:v>
      </x:c>
      <x:c r="P70" s="16" t="n">
        <x:f>IF(OR(AND($C70="Anti-Armor",D70&gt;=0.5),AND($C70="Premium Anti-Armor",D70&gt;=0.5),AND($C70="Ranged DPS",E70&gt;=0.5),AND($C70="Mobile General",J70&gt;=0.6),AND($C70="Siege / AOE",OR($B70="Tank Line",$B70="High-Ground Defense",$B70="Narrow Choke — Ranged")),AND($C70="Premium AOE",F70&gt;=0.7),AND($C70="Swarm",F70&gt;=0.7),AND($C70="Frontline",G70&gt;=0.7)),1.12,1.00)</x:f>
        <x:v>1.12</x:v>
      </x:c>
      <x:c r="Q70" s="54" t="n">
        <x:f>SUMIF('V2_Units'!$A$4:$A$13,$A70,'V2_Units'!$AD$4:$AD$13)*(L70/MAX(0.01,SUMIF('V2_Units'!$A$4:$A$13,$A70,'V2_Units'!$K$4:$K$13)))*M70*N70*O70*P70</x:f>
        <x:v>1.12337627659096</x:v>
      </x:c>
      <x:c r="R70" s="54" t="n">
        <x:f>Q70-SUMIF('V2_Units'!$A$4:$A$13,$A70,'V2_Units'!$AD$4:$AD$13)</x:f>
        <x:v>0.005526276590960055</x:v>
      </x:c>
      <x:c r="S70" s="51" t="str">
        <x:f>IF(Q70&gt;'V2_Parameters'!$B$15,"OVER",IF(Q70&lt;'V2_Parameters'!$B$14,"UNDER","OK"))&amp;" | "&amp;IF(P70&gt;1,"role-fit","base")</x:f>
        <x:v>OVER | role-fit</x:v>
      </x:c>
    </x:row>
    <x:row r="71">
      <x:c r="A71" t="str">
        <x:v>Immortal</x:v>
      </x:c>
      <x:c r="B71" t="str">
        <x:v>Tank Line</x:v>
      </x:c>
      <x:c r="C71" t="str">
        <x:f>VLOOKUP($A71,'V2_Units'!$A$4:$B$13,2,FALSE)</x:f>
        <x:v>Premium Anti-Armor</x:v>
      </x:c>
      <x:c r="D71" s="16" t="n">
        <x:f>SUMIF('V2_Scenarios'!$A$4:$A$12,$B71,'V2_Scenarios'!$C$4:$C$12)</x:f>
        <x:v>0.65</x:v>
      </x:c>
      <x:c r="E71" s="16" t="n">
        <x:f>SUMIF('V2_Scenarios'!$A$4:$A$12,$B71,'V2_Scenarios'!$D$4:$D$12)</x:f>
        <x:v>0.15</x:v>
      </x:c>
      <x:c r="F71" s="16" t="n">
        <x:f>SUMIF('V2_Scenarios'!$A$4:$A$12,$B71,'V2_Scenarios'!$E$4:$E$12)</x:f>
        <x:v>0.9</x:v>
      </x:c>
      <x:c r="G71" s="16" t="n">
        <x:f>SUMIF('V2_Scenarios'!$A$4:$A$12,$B71,'V2_Scenarios'!$F$4:$F$12)</x:f>
        <x:v>0.75</x:v>
      </x:c>
      <x:c r="H71" s="16" t="n">
        <x:f>SUMIF('V2_Scenarios'!$A$4:$A$12,$B71,'V2_Scenarios'!$G$4:$G$12)</x:f>
        <x:v>0.35</x:v>
      </x:c>
      <x:c r="I71" s="16" t="n">
        <x:f>SUMIF('V2_Scenarios'!$A$4:$A$12,$B71,'V2_Scenarios'!$H$4:$H$12)</x:f>
        <x:v>0.3</x:v>
      </x:c>
      <x:c r="J71" s="16" t="n">
        <x:f>SUMIF('V2_Scenarios'!$A$4:$A$12,$B71,'V2_Scenarios'!$I$4:$I$12)</x:f>
        <x:v>0.6</x:v>
      </x:c>
      <x:c r="K71" s="16" t="n">
        <x:f>SUMIF('V2_Units'!$A$4:$A$13,$A71,'V2_Units'!$W$4:$W$13)</x:f>
        <x:v>300</x:v>
      </x:c>
      <x:c r="L71" s="16" t="n">
        <x:f>(SUMIF('V2_Units'!$A$4:$A$13,$A71,'V2_Units'!$K$4:$K$13)*(1-E71)+SUMIF('V2_Units'!$A$4:$A$13,$A71,'V2_Units'!$L$4:$L$13)*E71+SUMIF('V2_Units'!$A$4:$A$13,$A71,'V2_Units'!$O$4:$O$13)*D71)*(1-0.15*J71)</x:f>
        <x:v>29.063125</x:v>
      </x:c>
      <x:c r="M71" s="16" t="n">
        <x:f>1-G71*SUMIF('V2_Units'!$A$4:$A$13,$A71,'V2_Units'!$Q$4:$Q$13)</x:f>
        <x:v>0.5874999999999999</x:v>
      </x:c>
      <x:c r="N71" s="16" t="n">
        <x:f>1+(SUMIF('V2_Units'!$A$4:$A$13,$A71,'V2_Units'!$P$4:$P$13)-1)*F71*(1-H71)</x:f>
        <x:v>1</x:v>
      </x:c>
      <x:c r="O71" s="16" t="n">
        <x:f>1+SUMIF('V2_Units'!$A$4:$A$13,$A71,'V2_Units'!$R$4:$R$13)*SUMIF('V2_Units'!$A$4:$A$13,$A71,'V2_Units'!$S$4:$S$13)*(1-I71)</x:f>
        <x:v>1.098</x:v>
      </x:c>
      <x:c r="P71" s="16" t="n">
        <x:f>IF(OR(AND($C71="Anti-Armor",D71&gt;=0.5),AND($C71="Premium Anti-Armor",D71&gt;=0.5),AND($C71="Ranged DPS",E71&gt;=0.5),AND($C71="Mobile General",J71&gt;=0.6),AND($C71="Siege / AOE",OR($B71="Tank Line",$B71="High-Ground Defense",$B71="Narrow Choke — Ranged")),AND($C71="Premium AOE",F71&gt;=0.7),AND($C71="Swarm",F71&gt;=0.7),AND($C71="Frontline",G71&gt;=0.7)),1.12,1.00)</x:f>
        <x:v>1.12</x:v>
      </x:c>
      <x:c r="Q71" s="54" t="n">
        <x:f>SUMIF('V2_Units'!$A$4:$A$13,$A71,'V2_Units'!$AD$4:$AD$13)*(L71/MAX(0.01,SUMIF('V2_Units'!$A$4:$A$13,$A71,'V2_Units'!$K$4:$K$13)))*M71*N71*O71*P71</x:f>
        <x:v>1.34126942895855</x:v>
      </x:c>
      <x:c r="R71" s="54" t="n">
        <x:f>Q71-SUMIF('V2_Units'!$A$4:$A$13,$A71,'V2_Units'!$AD$4:$AD$13)</x:f>
        <x:v>0.22341942895855005</x:v>
      </x:c>
      <x:c r="S71" s="51" t="str">
        <x:f>IF(Q71&gt;'V2_Parameters'!$B$15,"OVER",IF(Q71&lt;'V2_Parameters'!$B$14,"UNDER","OK"))&amp;" | "&amp;IF(P71&gt;1,"role-fit","base")</x:f>
        <x:v>OVER | role-fit</x:v>
      </x:c>
    </x:row>
    <x:row r="72">
      <x:c r="A72" t="str">
        <x:v>Immortal</x:v>
      </x:c>
      <x:c r="B72" t="str">
        <x:v>Massive Swarm</x:v>
      </x:c>
      <x:c r="C72" t="str">
        <x:f>VLOOKUP($A72,'V2_Units'!$A$4:$B$13,2,FALSE)</x:f>
        <x:v>Premium Anti-Armor</x:v>
      </x:c>
      <x:c r="D72" s="16" t="n">
        <x:f>SUMIF('V2_Scenarios'!$A$4:$A$12,$B72,'V2_Scenarios'!$C$4:$C$12)</x:f>
        <x:v>0.2</x:v>
      </x:c>
      <x:c r="E72" s="16" t="n">
        <x:f>SUMIF('V2_Scenarios'!$A$4:$A$12,$B72,'V2_Scenarios'!$D$4:$D$12)</x:f>
        <x:v>0.1</x:v>
      </x:c>
      <x:c r="F72" s="16" t="n">
        <x:f>SUMIF('V2_Scenarios'!$A$4:$A$12,$B72,'V2_Scenarios'!$E$4:$E$12)</x:f>
        <x:v>0.95</x:v>
      </x:c>
      <x:c r="G72" s="16" t="n">
        <x:f>SUMIF('V2_Scenarios'!$A$4:$A$12,$B72,'V2_Scenarios'!$F$4:$F$12)</x:f>
        <x:v>0.35</x:v>
      </x:c>
      <x:c r="H72" s="16" t="n">
        <x:f>SUMIF('V2_Scenarios'!$A$4:$A$12,$B72,'V2_Scenarios'!$G$4:$G$12)</x:f>
        <x:v>0.2</x:v>
      </x:c>
      <x:c r="I72" s="16" t="n">
        <x:f>SUMIF('V2_Scenarios'!$A$4:$A$12,$B72,'V2_Scenarios'!$H$4:$H$12)</x:f>
        <x:v>0.3</x:v>
      </x:c>
      <x:c r="J72" s="16" t="n">
        <x:f>SUMIF('V2_Scenarios'!$A$4:$A$12,$B72,'V2_Scenarios'!$I$4:$I$12)</x:f>
        <x:v>0.4</x:v>
      </x:c>
      <x:c r="K72" s="16" t="n">
        <x:f>SUMIF('V2_Units'!$A$4:$A$13,$A72,'V2_Units'!$W$4:$W$13)</x:f>
        <x:v>300</x:v>
      </x:c>
      <x:c r="L72" s="16" t="n">
        <x:f>(SUMIF('V2_Units'!$A$4:$A$13,$A72,'V2_Units'!$K$4:$K$13)*(1-E72)+SUMIF('V2_Units'!$A$4:$A$13,$A72,'V2_Units'!$L$4:$L$13)*E72+SUMIF('V2_Units'!$A$4:$A$13,$A72,'V2_Units'!$O$4:$O$13)*D72)*(1-0.15*J72)</x:f>
        <x:v>19.74</x:v>
      </x:c>
      <x:c r="M72" s="16" t="n">
        <x:f>1-G72*SUMIF('V2_Units'!$A$4:$A$13,$A72,'V2_Units'!$Q$4:$Q$13)</x:f>
        <x:v>0.8075</x:v>
      </x:c>
      <x:c r="N72" s="16" t="n">
        <x:f>1+(SUMIF('V2_Units'!$A$4:$A$13,$A72,'V2_Units'!$P$4:$P$13)-1)*F72*(1-H72)</x:f>
        <x:v>1</x:v>
      </x:c>
      <x:c r="O72" s="16" t="n">
        <x:f>1+SUMIF('V2_Units'!$A$4:$A$13,$A72,'V2_Units'!$R$4:$R$13)*SUMIF('V2_Units'!$A$4:$A$13,$A72,'V2_Units'!$S$4:$S$13)*(1-I72)</x:f>
        <x:v>1.098</x:v>
      </x:c>
      <x:c r="P72" s="16" t="n">
        <x:f>IF(OR(AND($C72="Anti-Armor",D72&gt;=0.5),AND($C72="Premium Anti-Armor",D72&gt;=0.5),AND($C72="Ranged DPS",E72&gt;=0.5),AND($C72="Mobile General",J72&gt;=0.6),AND($C72="Siege / AOE",OR($B72="Tank Line",$B72="High-Ground Defense",$B72="Narrow Choke — Ranged")),AND($C72="Premium AOE",F72&gt;=0.7),AND($C72="Swarm",F72&gt;=0.7),AND($C72="Frontline",G72&gt;=0.7)),1.12,1.00)</x:f>
        <x:v>1</x:v>
      </x:c>
      <x:c r="Q72" s="54" t="n">
        <x:f>SUMIF('V2_Units'!$A$4:$A$13,$A72,'V2_Units'!$AD$4:$AD$13)*(L72/MAX(0.01,SUMIF('V2_Units'!$A$4:$A$13,$A72,'V2_Units'!$K$4:$K$13)))*M72*N72*O72*P72</x:f>
        <x:v>1.117988926398</x:v>
      </x:c>
      <x:c r="R72" s="54" t="n">
        <x:f>Q72-SUMIF('V2_Units'!$A$4:$A$13,$A72,'V2_Units'!$AD$4:$AD$13)</x:f>
        <x:v>0.000138926398000061</x:v>
      </x:c>
      <x:c r="S72" s="51" t="str">
        <x:f>IF(Q72&gt;'V2_Parameters'!$B$15,"OVER",IF(Q72&lt;'V2_Parameters'!$B$14,"UNDER","OK"))&amp;" | "&amp;IF(P72&gt;1,"role-fit","base")</x:f>
        <x:v>OVER | base</x:v>
      </x:c>
    </x:row>
    <x:row r="73">
      <x:c r="A73" t="str">
        <x:v>Immortal</x:v>
      </x:c>
      <x:c r="B73" t="str">
        <x:v>High-Ground Defense</x:v>
      </x:c>
      <x:c r="C73" t="str">
        <x:f>VLOOKUP($A73,'V2_Units'!$A$4:$B$13,2,FALSE)</x:f>
        <x:v>Premium Anti-Armor</x:v>
      </x:c>
      <x:c r="D73" s="16" t="n">
        <x:f>SUMIF('V2_Scenarios'!$A$4:$A$12,$B73,'V2_Scenarios'!$C$4:$C$12)</x:f>
        <x:v>0.55</x:v>
      </x:c>
      <x:c r="E73" s="16" t="n">
        <x:f>SUMIF('V2_Scenarios'!$A$4:$A$12,$B73,'V2_Scenarios'!$D$4:$D$12)</x:f>
        <x:v>0.15</x:v>
      </x:c>
      <x:c r="F73" s="16" t="n">
        <x:f>SUMIF('V2_Scenarios'!$A$4:$A$12,$B73,'V2_Scenarios'!$E$4:$E$12)</x:f>
        <x:v>0.7</x:v>
      </x:c>
      <x:c r="G73" s="16" t="n">
        <x:f>SUMIF('V2_Scenarios'!$A$4:$A$12,$B73,'V2_Scenarios'!$F$4:$F$12)</x:f>
        <x:v>0.55</x:v>
      </x:c>
      <x:c r="H73" s="16" t="n">
        <x:f>SUMIF('V2_Scenarios'!$A$4:$A$12,$B73,'V2_Scenarios'!$G$4:$G$12)</x:f>
        <x:v>0.5</x:v>
      </x:c>
      <x:c r="I73" s="16" t="n">
        <x:f>SUMIF('V2_Scenarios'!$A$4:$A$12,$B73,'V2_Scenarios'!$H$4:$H$12)</x:f>
        <x:v>0.3</x:v>
      </x:c>
      <x:c r="J73" s="16" t="n">
        <x:f>SUMIF('V2_Scenarios'!$A$4:$A$12,$B73,'V2_Scenarios'!$I$4:$I$12)</x:f>
        <x:v>0.55</x:v>
      </x:c>
      <x:c r="K73" s="16" t="n">
        <x:f>SUMIF('V2_Units'!$A$4:$A$13,$A73,'V2_Units'!$W$4:$W$13)</x:f>
        <x:v>300</x:v>
      </x:c>
      <x:c r="L73" s="16" t="n">
        <x:f>(SUMIF('V2_Units'!$A$4:$A$13,$A73,'V2_Units'!$K$4:$K$13)*(1-E73)+SUMIF('V2_Units'!$A$4:$A$13,$A73,'V2_Units'!$L$4:$L$13)*E73+SUMIF('V2_Units'!$A$4:$A$13,$A73,'V2_Units'!$O$4:$O$13)*D73)*(1-0.15*J73)</x:f>
        <x:v>26.89421875</x:v>
      </x:c>
      <x:c r="M73" s="16" t="n">
        <x:f>1-G73*SUMIF('V2_Units'!$A$4:$A$13,$A73,'V2_Units'!$Q$4:$Q$13)</x:f>
        <x:v>0.6975</x:v>
      </x:c>
      <x:c r="N73" s="16" t="n">
        <x:f>1+(SUMIF('V2_Units'!$A$4:$A$13,$A73,'V2_Units'!$P$4:$P$13)-1)*F73*(1-H73)</x:f>
        <x:v>1</x:v>
      </x:c>
      <x:c r="O73" s="16" t="n">
        <x:f>1+SUMIF('V2_Units'!$A$4:$A$13,$A73,'V2_Units'!$R$4:$R$13)*SUMIF('V2_Units'!$A$4:$A$13,$A73,'V2_Units'!$S$4:$S$13)*(1-I73)</x:f>
        <x:v>1.098</x:v>
      </x:c>
      <x:c r="P73" s="16" t="n">
        <x:f>IF(OR(AND($C73="Anti-Armor",D73&gt;=0.5),AND($C73="Premium Anti-Armor",D73&gt;=0.5),AND($C73="Ranged DPS",E73&gt;=0.5),AND($C73="Mobile General",J73&gt;=0.6),AND($C73="Siege / AOE",OR($B73="Tank Line",$B73="High-Ground Defense",$B73="Narrow Choke — Ranged")),AND($C73="Premium AOE",F73&gt;=0.7),AND($C73="Swarm",F73&gt;=0.7),AND($C73="Frontline",G73&gt;=0.7)),1.12,1.00)</x:f>
        <x:v>1.12</x:v>
      </x:c>
      <x:c r="Q73" s="54" t="n">
        <x:f>SUMIF('V2_Units'!$A$4:$A$13,$A73,'V2_Units'!$AD$4:$AD$13)*(L73/MAX(0.01,SUMIF('V2_Units'!$A$4:$A$13,$A73,'V2_Units'!$K$4:$K$13)))*M73*N73*O73*P73</x:f>
        <x:v>1.4735639567544525</x:v>
      </x:c>
      <x:c r="R73" s="54" t="n">
        <x:f>Q73-SUMIF('V2_Units'!$A$4:$A$13,$A73,'V2_Units'!$AD$4:$AD$13)</x:f>
        <x:v>0.3557139567544525</x:v>
      </x:c>
      <x:c r="S73" s="51" t="str">
        <x:f>IF(Q73&gt;'V2_Parameters'!$B$15,"OVER",IF(Q73&lt;'V2_Parameters'!$B$14,"UNDER","OK"))&amp;" | "&amp;IF(P73&gt;1,"role-fit","base")</x:f>
        <x:v>OVER | role-fit</x:v>
      </x:c>
    </x:row>
    <x:row r="74">
      <x:c r="A74" t="str">
        <x:v>Immortal</x:v>
      </x:c>
      <x:c r="B74" t="str">
        <x:v>Anti-Air Screen</x:v>
      </x:c>
      <x:c r="C74" t="str">
        <x:f>VLOOKUP($A74,'V2_Units'!$A$4:$B$13,2,FALSE)</x:f>
        <x:v>Premium Anti-Armor</x:v>
      </x:c>
      <x:c r="D74" s="16" t="n">
        <x:f>SUMIF('V2_Scenarios'!$A$4:$A$12,$B74,'V2_Scenarios'!$C$4:$C$12)</x:f>
        <x:v>0.2</x:v>
      </x:c>
      <x:c r="E74" s="16" t="n">
        <x:f>SUMIF('V2_Scenarios'!$A$4:$A$12,$B74,'V2_Scenarios'!$D$4:$D$12)</x:f>
        <x:v>0.8</x:v>
      </x:c>
      <x:c r="F74" s="16" t="n">
        <x:f>SUMIF('V2_Scenarios'!$A$4:$A$12,$B74,'V2_Scenarios'!$E$4:$E$12)</x:f>
        <x:v>0.6</x:v>
      </x:c>
      <x:c r="G74" s="16" t="n">
        <x:f>SUMIF('V2_Scenarios'!$A$4:$A$12,$B74,'V2_Scenarios'!$F$4:$F$12)</x:f>
        <x:v>0.45</x:v>
      </x:c>
      <x:c r="H74" s="16" t="n">
        <x:f>SUMIF('V2_Scenarios'!$A$4:$A$12,$B74,'V2_Scenarios'!$G$4:$G$12)</x:f>
        <x:v>0.55</x:v>
      </x:c>
      <x:c r="I74" s="16" t="n">
        <x:f>SUMIF('V2_Scenarios'!$A$4:$A$12,$B74,'V2_Scenarios'!$H$4:$H$12)</x:f>
        <x:v>0.25</x:v>
      </x:c>
      <x:c r="J74" s="16" t="n">
        <x:f>SUMIF('V2_Scenarios'!$A$4:$A$12,$B74,'V2_Scenarios'!$I$4:$I$12)</x:f>
        <x:v>0.45</x:v>
      </x:c>
      <x:c r="K74" s="16" t="n">
        <x:f>SUMIF('V2_Units'!$A$4:$A$13,$A74,'V2_Units'!$W$4:$W$13)</x:f>
        <x:v>300</x:v>
      </x:c>
      <x:c r="L74" s="16" t="n">
        <x:f>(SUMIF('V2_Units'!$A$4:$A$13,$A74,'V2_Units'!$K$4:$K$13)*(1-E74)+SUMIF('V2_Units'!$A$4:$A$13,$A74,'V2_Units'!$L$4:$L$13)*E74+SUMIF('V2_Units'!$A$4:$A$13,$A74,'V2_Units'!$O$4:$O$13)*D74)*(1-0.15*J74)</x:f>
        <x:v>8.159375</x:v>
      </x:c>
      <x:c r="M74" s="16" t="n">
        <x:f>1-G74*SUMIF('V2_Units'!$A$4:$A$13,$A74,'V2_Units'!$Q$4:$Q$13)</x:f>
        <x:v>0.7525</x:v>
      </x:c>
      <x:c r="N74" s="16" t="n">
        <x:f>1+(SUMIF('V2_Units'!$A$4:$A$13,$A74,'V2_Units'!$P$4:$P$13)-1)*F74*(1-H74)</x:f>
        <x:v>1</x:v>
      </x:c>
      <x:c r="O74" s="16" t="n">
        <x:f>1+SUMIF('V2_Units'!$A$4:$A$13,$A74,'V2_Units'!$R$4:$R$13)*SUMIF('V2_Units'!$A$4:$A$13,$A74,'V2_Units'!$S$4:$S$13)*(1-I74)</x:f>
        <x:v>1.105</x:v>
      </x:c>
      <x:c r="P74" s="16" t="n">
        <x:f>IF(OR(AND($C74="Anti-Armor",D74&gt;=0.5),AND($C74="Premium Anti-Armor",D74&gt;=0.5),AND($C74="Ranged DPS",E74&gt;=0.5),AND($C74="Mobile General",J74&gt;=0.6),AND($C74="Siege / AOE",OR($B74="Tank Line",$B74="High-Ground Defense",$B74="Narrow Choke — Ranged")),AND($C74="Premium AOE",F74&gt;=0.7),AND($C74="Swarm",F74&gt;=0.7),AND($C74="Frontline",G74&gt;=0.7)),1.12,1.00)</x:f>
        <x:v>1</x:v>
      </x:c>
      <x:c r="Q74" s="54" t="n">
        <x:f>SUMIF('V2_Units'!$A$4:$A$13,$A74,'V2_Units'!$AD$4:$AD$13)*(L74/MAX(0.01,SUMIF('V2_Units'!$A$4:$A$13,$A74,'V2_Units'!$K$4:$K$13)))*M74*N74*O74*P74</x:f>
        <x:v>0.4333822881882813</x:v>
      </x:c>
      <x:c r="R74" s="54" t="n">
        <x:f>Q74-SUMIF('V2_Units'!$A$4:$A$13,$A74,'V2_Units'!$AD$4:$AD$13)</x:f>
        <x:v>-0.6844677118117187</x:v>
      </x:c>
      <x:c r="S74" s="51" t="str">
        <x:f>IF(Q74&gt;'V2_Parameters'!$B$15,"OVER",IF(Q74&lt;'V2_Parameters'!$B$14,"UNDER","OK"))&amp;" | "&amp;IF(P74&gt;1,"role-fit","base")</x:f>
        <x:v>UNDER | base</x:v>
      </x:c>
    </x:row>
    <x:row r="75">
      <x:c r="A75" t="str">
        <x:v>Immortal</x:v>
      </x:c>
      <x:c r="B75" t="str">
        <x:v>Kite Scenario</x:v>
      </x:c>
      <x:c r="C75" t="str">
        <x:f>VLOOKUP($A75,'V2_Units'!$A$4:$B$13,2,FALSE)</x:f>
        <x:v>Premium Anti-Armor</x:v>
      </x:c>
      <x:c r="D75" s="16" t="n">
        <x:f>SUMIF('V2_Scenarios'!$A$4:$A$12,$B75,'V2_Scenarios'!$C$4:$C$12)</x:f>
        <x:v>0.25</x:v>
      </x:c>
      <x:c r="E75" s="16" t="n">
        <x:f>SUMIF('V2_Scenarios'!$A$4:$A$12,$B75,'V2_Scenarios'!$D$4:$D$12)</x:f>
        <x:v>0.2</x:v>
      </x:c>
      <x:c r="F75" s="16" t="n">
        <x:f>SUMIF('V2_Scenarios'!$A$4:$A$12,$B75,'V2_Scenarios'!$E$4:$E$12)</x:f>
        <x:v>0.55</x:v>
      </x:c>
      <x:c r="G75" s="16" t="n">
        <x:f>SUMIF('V2_Scenarios'!$A$4:$A$12,$B75,'V2_Scenarios'!$F$4:$F$12)</x:f>
        <x:v>0.3</x:v>
      </x:c>
      <x:c r="H75" s="16" t="n">
        <x:f>SUMIF('V2_Scenarios'!$A$4:$A$12,$B75,'V2_Scenarios'!$G$4:$G$12)</x:f>
        <x:v>0.65</x:v>
      </x:c>
      <x:c r="I75" s="16" t="n">
        <x:f>SUMIF('V2_Scenarios'!$A$4:$A$12,$B75,'V2_Scenarios'!$H$4:$H$12)</x:f>
        <x:v>0.45</x:v>
      </x:c>
      <x:c r="J75" s="16" t="n">
        <x:f>SUMIF('V2_Scenarios'!$A$4:$A$12,$B75,'V2_Scenarios'!$I$4:$I$12)</x:f>
        <x:v>0.8</x:v>
      </x:c>
      <x:c r="K75" s="16" t="n">
        <x:f>SUMIF('V2_Units'!$A$4:$A$13,$A75,'V2_Units'!$W$4:$W$13)</x:f>
        <x:v>300</x:v>
      </x:c>
      <x:c r="L75" s="16" t="n">
        <x:f>(SUMIF('V2_Units'!$A$4:$A$13,$A75,'V2_Units'!$K$4:$K$13)*(1-E75)+SUMIF('V2_Units'!$A$4:$A$13,$A75,'V2_Units'!$L$4:$L$13)*E75+SUMIF('V2_Units'!$A$4:$A$13,$A75,'V2_Units'!$O$4:$O$13)*D75)*(1-0.15*J75)</x:f>
        <x:v>18.095</x:v>
      </x:c>
      <x:c r="M75" s="16" t="n">
        <x:f>1-G75*SUMIF('V2_Units'!$A$4:$A$13,$A75,'V2_Units'!$Q$4:$Q$13)</x:f>
        <x:v>0.835</x:v>
      </x:c>
      <x:c r="N75" s="16" t="n">
        <x:f>1+(SUMIF('V2_Units'!$A$4:$A$13,$A75,'V2_Units'!$P$4:$P$13)-1)*F75*(1-H75)</x:f>
        <x:v>1</x:v>
      </x:c>
      <x:c r="O75" s="16" t="n">
        <x:f>1+SUMIF('V2_Units'!$A$4:$A$13,$A75,'V2_Units'!$R$4:$R$13)*SUMIF('V2_Units'!$A$4:$A$13,$A75,'V2_Units'!$S$4:$S$13)*(1-I75)</x:f>
        <x:v>1.077</x:v>
      </x:c>
      <x:c r="P75" s="16" t="n">
        <x:f>IF(OR(AND($C75="Anti-Armor",D75&gt;=0.5),AND($C75="Premium Anti-Armor",D75&gt;=0.5),AND($C75="Ranged DPS",E75&gt;=0.5),AND($C75="Mobile General",J75&gt;=0.6),AND($C75="Siege / AOE",OR($B75="Tank Line",$B75="High-Ground Defense",$B75="Narrow Choke — Ranged")),AND($C75="Premium AOE",F75&gt;=0.7),AND($C75="Swarm",F75&gt;=0.7),AND($C75="Frontline",G75&gt;=0.7)),1.12,1.00)</x:f>
        <x:v>1</x:v>
      </x:c>
      <x:c r="Q75" s="54" t="n">
        <x:f>SUMIF('V2_Units'!$A$4:$A$13,$A75,'V2_Units'!$AD$4:$AD$13)*(L75/MAX(0.01,SUMIF('V2_Units'!$A$4:$A$13,$A75,'V2_Units'!$K$4:$K$13)))*M75*N75*O75*P75</x:f>
        <x:v>1.0394563308855</x:v>
      </x:c>
      <x:c r="R75" s="54" t="n">
        <x:f>Q75-SUMIF('V2_Units'!$A$4:$A$13,$A75,'V2_Units'!$AD$4:$AD$13)</x:f>
        <x:v>-0.07839366911449996</x:v>
      </x:c>
      <x:c r="S75" s="51" t="str">
        <x:f>IF(Q75&gt;'V2_Parameters'!$B$15,"OVER",IF(Q75&lt;'V2_Parameters'!$B$14,"UNDER","OK"))&amp;" | "&amp;IF(P75&gt;1,"role-fit","base")</x:f>
        <x:v>OK | base</x:v>
      </x:c>
    </x:row>
    <x:row r="76">
      <x:c r="A76" t="str">
        <x:v>Siege Tank</x:v>
      </x:c>
      <x:c r="B76" t="str">
        <x:v>Open Field — Light Mass</x:v>
      </x:c>
      <x:c r="C76" t="str">
        <x:f>VLOOKUP($A76,'V2_Units'!$A$4:$B$13,2,FALSE)</x:f>
        <x:v>Siege / AOE</x:v>
      </x:c>
      <x:c r="D76" s="16" t="n">
        <x:f>SUMIF('V2_Scenarios'!$A$4:$A$12,$B76,'V2_Scenarios'!$C$4:$C$12)</x:f>
        <x:v>0.1</x:v>
      </x:c>
      <x:c r="E76" s="16" t="n">
        <x:f>SUMIF('V2_Scenarios'!$A$4:$A$12,$B76,'V2_Scenarios'!$D$4:$D$12)</x:f>
        <x:v>0.2</x:v>
      </x:c>
      <x:c r="F76" s="16" t="n">
        <x:f>SUMIF('V2_Scenarios'!$A$4:$A$12,$B76,'V2_Scenarios'!$E$4:$E$12)</x:f>
        <x:v>0.45</x:v>
      </x:c>
      <x:c r="G76" s="16" t="n">
        <x:f>SUMIF('V2_Scenarios'!$A$4:$A$12,$B76,'V2_Scenarios'!$F$4:$F$12)</x:f>
        <x:v>0.2</x:v>
      </x:c>
      <x:c r="H76" s="16" t="n">
        <x:f>SUMIF('V2_Scenarios'!$A$4:$A$12,$B76,'V2_Scenarios'!$G$4:$G$12)</x:f>
        <x:v>0.6</x:v>
      </x:c>
      <x:c r="I76" s="16" t="n">
        <x:f>SUMIF('V2_Scenarios'!$A$4:$A$12,$B76,'V2_Scenarios'!$H$4:$H$12)</x:f>
        <x:v>0.35</x:v>
      </x:c>
      <x:c r="J76" s="16" t="n">
        <x:f>SUMIF('V2_Scenarios'!$A$4:$A$12,$B76,'V2_Scenarios'!$I$4:$I$12)</x:f>
        <x:v>0.25</x:v>
      </x:c>
      <x:c r="K76" s="16" t="n">
        <x:f>SUMIF('V2_Units'!$A$4:$A$13,$A76,'V2_Units'!$W$4:$W$13)</x:f>
        <x:v>175</x:v>
      </x:c>
      <x:c r="L76" s="16" t="n">
        <x:f>(SUMIF('V2_Units'!$A$4:$A$13,$A76,'V2_Units'!$K$4:$K$13)*(1-E76)+SUMIF('V2_Units'!$A$4:$A$13,$A76,'V2_Units'!$L$4:$L$13)*E76+SUMIF('V2_Units'!$A$4:$A$13,$A76,'V2_Units'!$O$4:$O$13)*D76)*(1-0.15*J76)</x:f>
        <x:v>15.6079</x:v>
      </x:c>
      <x:c r="M76" s="16" t="n">
        <x:f>1-G76*SUMIF('V2_Units'!$A$4:$A$13,$A76,'V2_Units'!$Q$4:$Q$13)</x:f>
        <x:v>0.896</x:v>
      </x:c>
      <x:c r="N76" s="16" t="n">
        <x:f>1+(SUMIF('V2_Units'!$A$4:$A$13,$A76,'V2_Units'!$P$4:$P$13)-1)*F76*(1-H76)</x:f>
        <x:v>1.306</x:v>
      </x:c>
      <x:c r="O76" s="16" t="n">
        <x:f>1+SUMIF('V2_Units'!$A$4:$A$13,$A76,'V2_Units'!$R$4:$R$13)*SUMIF('V2_Units'!$A$4:$A$13,$A76,'V2_Units'!$S$4:$S$13)*(1-I76)</x:f>
        <x:v>1.1274</x:v>
      </x:c>
      <x:c r="P76" s="16" t="n">
        <x:f>IF(OR(AND($C76="Anti-Armor",D76&gt;=0.5),AND($C76="Premium Anti-Armor",D76&gt;=0.5),AND($C76="Ranged DPS",E76&gt;=0.5),AND($C76="Mobile General",J76&gt;=0.6),AND($C76="Siege / AOE",OR($B76="Tank Line",$B76="High-Ground Defense",$B76="Narrow Choke — Ranged")),AND($C76="Premium AOE",F76&gt;=0.7),AND($C76="Swarm",F76&gt;=0.7),AND($C76="Frontline",G76&gt;=0.7)),1.12,1.00)</x:f>
        <x:v>1</x:v>
      </x:c>
      <x:c r="Q76" s="54" t="n">
        <x:f>SUMIF('V2_Units'!$A$4:$A$13,$A76,'V2_Units'!$AD$4:$AD$13)*(L76/MAX(0.01,SUMIF('V2_Units'!$A$4:$A$13,$A76,'V2_Units'!$K$4:$K$13)))*M76*N76*O76*P76</x:f>
        <x:v>1.0382264404157182</x:v>
      </x:c>
      <x:c r="R76" s="54" t="n">
        <x:f>Q76-SUMIF('V2_Units'!$A$4:$A$13,$A76,'V2_Units'!$AD$4:$AD$13)</x:f>
        <x:v>0.016176440415718307</x:v>
      </x:c>
      <x:c r="S76" s="51" t="str">
        <x:f>IF(Q76&gt;'V2_Parameters'!$B$15,"OVER",IF(Q76&lt;'V2_Parameters'!$B$14,"UNDER","OK"))&amp;" | "&amp;IF(P76&gt;1,"role-fit","base")</x:f>
        <x:v>OK | base</x:v>
      </x:c>
    </x:row>
    <x:row r="77">
      <x:c r="A77" t="str">
        <x:v>Siege Tank</x:v>
      </x:c>
      <x:c r="B77" t="str">
        <x:v>Open Field — Armored</x:v>
      </x:c>
      <x:c r="C77" t="str">
        <x:f>VLOOKUP($A77,'V2_Units'!$A$4:$B$13,2,FALSE)</x:f>
        <x:v>Siege / AOE</x:v>
      </x:c>
      <x:c r="D77" s="16" t="n">
        <x:f>SUMIF('V2_Scenarios'!$A$4:$A$12,$B77,'V2_Scenarios'!$C$4:$C$12)</x:f>
        <x:v>0.85</x:v>
      </x:c>
      <x:c r="E77" s="16" t="n">
        <x:f>SUMIF('V2_Scenarios'!$A$4:$A$12,$B77,'V2_Scenarios'!$D$4:$D$12)</x:f>
        <x:v>0.15</x:v>
      </x:c>
      <x:c r="F77" s="16" t="n">
        <x:f>SUMIF('V2_Scenarios'!$A$4:$A$12,$B77,'V2_Scenarios'!$E$4:$E$12)</x:f>
        <x:v>0.45</x:v>
      </x:c>
      <x:c r="G77" s="16" t="n">
        <x:f>SUMIF('V2_Scenarios'!$A$4:$A$12,$B77,'V2_Scenarios'!$F$4:$F$12)</x:f>
        <x:v>0.2</x:v>
      </x:c>
      <x:c r="H77" s="16" t="n">
        <x:f>SUMIF('V2_Scenarios'!$A$4:$A$12,$B77,'V2_Scenarios'!$G$4:$G$12)</x:f>
        <x:v>0.6</x:v>
      </x:c>
      <x:c r="I77" s="16" t="n">
        <x:f>SUMIF('V2_Scenarios'!$A$4:$A$12,$B77,'V2_Scenarios'!$H$4:$H$12)</x:f>
        <x:v>0.35</x:v>
      </x:c>
      <x:c r="J77" s="16" t="n">
        <x:f>SUMIF('V2_Scenarios'!$A$4:$A$12,$B77,'V2_Scenarios'!$I$4:$I$12)</x:f>
        <x:v>0.35</x:v>
      </x:c>
      <x:c r="K77" s="16" t="n">
        <x:f>SUMIF('V2_Units'!$A$4:$A$13,$A77,'V2_Units'!$W$4:$W$13)</x:f>
        <x:v>175</x:v>
      </x:c>
      <x:c r="L77" s="16" t="n">
        <x:f>(SUMIF('V2_Units'!$A$4:$A$13,$A77,'V2_Units'!$K$4:$K$13)*(1-E77)+SUMIF('V2_Units'!$A$4:$A$13,$A77,'V2_Units'!$L$4:$L$13)*E77+SUMIF('V2_Units'!$A$4:$A$13,$A77,'V2_Units'!$O$4:$O$13)*D77)*(1-0.15*J77)</x:f>
        <x:v>16.324951249999998</x:v>
      </x:c>
      <x:c r="M77" s="16" t="n">
        <x:f>1-G77*SUMIF('V2_Units'!$A$4:$A$13,$A77,'V2_Units'!$Q$4:$Q$13)</x:f>
        <x:v>0.896</x:v>
      </x:c>
      <x:c r="N77" s="16" t="n">
        <x:f>1+(SUMIF('V2_Units'!$A$4:$A$13,$A77,'V2_Units'!$P$4:$P$13)-1)*F77*(1-H77)</x:f>
        <x:v>1.306</x:v>
      </x:c>
      <x:c r="O77" s="16" t="n">
        <x:f>1+SUMIF('V2_Units'!$A$4:$A$13,$A77,'V2_Units'!$R$4:$R$13)*SUMIF('V2_Units'!$A$4:$A$13,$A77,'V2_Units'!$S$4:$S$13)*(1-I77)</x:f>
        <x:v>1.1274</x:v>
      </x:c>
      <x:c r="P77" s="16" t="n">
        <x:f>IF(OR(AND($C77="Anti-Armor",D77&gt;=0.5),AND($C77="Premium Anti-Armor",D77&gt;=0.5),AND($C77="Ranged DPS",E77&gt;=0.5),AND($C77="Mobile General",J77&gt;=0.6),AND($C77="Siege / AOE",OR($B77="Tank Line",$B77="High-Ground Defense",$B77="Narrow Choke — Ranged")),AND($C77="Premium AOE",F77&gt;=0.7),AND($C77="Swarm",F77&gt;=0.7),AND($C77="Frontline",G77&gt;=0.7)),1.12,1.00)</x:f>
        <x:v>1</x:v>
      </x:c>
      <x:c r="Q77" s="54" t="n">
        <x:f>SUMIF('V2_Units'!$A$4:$A$13,$A77,'V2_Units'!$AD$4:$AD$13)*(L77/MAX(0.01,SUMIF('V2_Units'!$A$4:$A$13,$A77,'V2_Units'!$K$4:$K$13)))*M77*N77*O77*P77</x:f>
        <x:v>1.0859241811036482</x:v>
      </x:c>
      <x:c r="R77" s="54" t="n">
        <x:f>Q77-SUMIF('V2_Units'!$A$4:$A$13,$A77,'V2_Units'!$AD$4:$AD$13)</x:f>
        <x:v>0.06387418110364829</x:v>
      </x:c>
      <x:c r="S77" s="51" t="str">
        <x:f>IF(Q77&gt;'V2_Parameters'!$B$15,"OVER",IF(Q77&lt;'V2_Parameters'!$B$14,"UNDER","OK"))&amp;" | "&amp;IF(P77&gt;1,"role-fit","base")</x:f>
        <x:v>OK | base</x:v>
      </x:c>
    </x:row>
    <x:row r="78">
      <x:c r="A78" t="str">
        <x:v>Siege Tank</x:v>
      </x:c>
      <x:c r="B78" t="str">
        <x:v>Narrow Choke — Melee</x:v>
      </x:c>
      <x:c r="C78" t="str">
        <x:f>VLOOKUP($A78,'V2_Units'!$A$4:$B$13,2,FALSE)</x:f>
        <x:v>Siege / AOE</x:v>
      </x:c>
      <x:c r="D78" s="16" t="n">
        <x:f>SUMIF('V2_Scenarios'!$A$4:$A$12,$B78,'V2_Scenarios'!$C$4:$C$12)</x:f>
        <x:v>0.35</x:v>
      </x:c>
      <x:c r="E78" s="16" t="n">
        <x:f>SUMIF('V2_Scenarios'!$A$4:$A$12,$B78,'V2_Scenarios'!$D$4:$D$12)</x:f>
        <x:v>0.1</x:v>
      </x:c>
      <x:c r="F78" s="16" t="n">
        <x:f>SUMIF('V2_Scenarios'!$A$4:$A$12,$B78,'V2_Scenarios'!$E$4:$E$12)</x:f>
        <x:v>0.85</x:v>
      </x:c>
      <x:c r="G78" s="16" t="n">
        <x:f>SUMIF('V2_Scenarios'!$A$4:$A$12,$B78,'V2_Scenarios'!$F$4:$F$12)</x:f>
        <x:v>0.85</x:v>
      </x:c>
      <x:c r="H78" s="16" t="n">
        <x:f>SUMIF('V2_Scenarios'!$A$4:$A$12,$B78,'V2_Scenarios'!$G$4:$G$12)</x:f>
        <x:v>0.25</x:v>
      </x:c>
      <x:c r="I78" s="16" t="n">
        <x:f>SUMIF('V2_Scenarios'!$A$4:$A$12,$B78,'V2_Scenarios'!$H$4:$H$12)</x:f>
        <x:v>0.4</x:v>
      </x:c>
      <x:c r="J78" s="16" t="n">
        <x:f>SUMIF('V2_Scenarios'!$A$4:$A$12,$B78,'V2_Scenarios'!$I$4:$I$12)</x:f>
        <x:v>0.45</x:v>
      </x:c>
      <x:c r="K78" s="16" t="n">
        <x:f>SUMIF('V2_Units'!$A$4:$A$13,$A78,'V2_Units'!$W$4:$W$13)</x:f>
        <x:v>175</x:v>
      </x:c>
      <x:c r="L78" s="16" t="n">
        <x:f>(SUMIF('V2_Units'!$A$4:$A$13,$A78,'V2_Units'!$K$4:$K$13)*(1-E78)+SUMIF('V2_Units'!$A$4:$A$13,$A78,'V2_Units'!$L$4:$L$13)*E78+SUMIF('V2_Units'!$A$4:$A$13,$A78,'V2_Units'!$O$4:$O$13)*D78)*(1-0.15*J78)</x:f>
        <x:v>17.011597499999997</x:v>
      </x:c>
      <x:c r="M78" s="16" t="n">
        <x:f>1-G78*SUMIF('V2_Units'!$A$4:$A$13,$A78,'V2_Units'!$Q$4:$Q$13)</x:f>
        <x:v>0.558</x:v>
      </x:c>
      <x:c r="N78" s="16" t="n">
        <x:f>1+(SUMIF('V2_Units'!$A$4:$A$13,$A78,'V2_Units'!$P$4:$P$13)-1)*F78*(1-H78)</x:f>
        <x:v>2.08375</x:v>
      </x:c>
      <x:c r="O78" s="16" t="n">
        <x:f>1+SUMIF('V2_Units'!$A$4:$A$13,$A78,'V2_Units'!$R$4:$R$13)*SUMIF('V2_Units'!$A$4:$A$13,$A78,'V2_Units'!$S$4:$S$13)*(1-I78)</x:f>
        <x:v>1.1176</x:v>
      </x:c>
      <x:c r="P78" s="16" t="n">
        <x:f>IF(OR(AND($C78="Anti-Armor",D78&gt;=0.5),AND($C78="Premium Anti-Armor",D78&gt;=0.5),AND($C78="Ranged DPS",E78&gt;=0.5),AND($C78="Mobile General",J78&gt;=0.6),AND($C78="Siege / AOE",OR($B78="Tank Line",$B78="High-Ground Defense",$B78="Narrow Choke — Ranged")),AND($C78="Premium AOE",F78&gt;=0.7),AND($C78="Swarm",F78&gt;=0.7),AND($C78="Frontline",G78&gt;=0.7)),1.12,1.00)</x:f>
        <x:v>1</x:v>
      </x:c>
      <x:c r="Q78" s="54" t="n">
        <x:f>SUMIF('V2_Units'!$A$4:$A$13,$A78,'V2_Units'!$AD$4:$AD$13)*(L78/MAX(0.01,SUMIF('V2_Units'!$A$4:$A$13,$A78,'V2_Units'!$K$4:$K$13)))*M78*N78*O78*P78</x:f>
        <x:v>1.1146273553295116</x:v>
      </x:c>
      <x:c r="R78" s="54" t="n">
        <x:f>Q78-SUMIF('V2_Units'!$A$4:$A$13,$A78,'V2_Units'!$AD$4:$AD$13)</x:f>
        <x:v>0.09257735532951172</x:v>
      </x:c>
      <x:c r="S78" s="51" t="str">
        <x:f>IF(Q78&gt;'V2_Parameters'!$B$15,"OVER",IF(Q78&lt;'V2_Parameters'!$B$14,"UNDER","OK"))&amp;" | "&amp;IF(P78&gt;1,"role-fit","base")</x:f>
        <x:v>OVER | base</x:v>
      </x:c>
    </x:row>
    <x:row r="79">
      <x:c r="A79" t="str">
        <x:v>Siege Tank</x:v>
      </x:c>
      <x:c r="B79" t="str">
        <x:v>Narrow Choke — Ranged</x:v>
      </x:c>
      <x:c r="C79" t="str">
        <x:f>VLOOKUP($A79,'V2_Units'!$A$4:$B$13,2,FALSE)</x:f>
        <x:v>Siege / AOE</x:v>
      </x:c>
      <x:c r="D79" s="16" t="n">
        <x:f>SUMIF('V2_Scenarios'!$A$4:$A$12,$B79,'V2_Scenarios'!$C$4:$C$12)</x:f>
        <x:v>0.5</x:v>
      </x:c>
      <x:c r="E79" s="16" t="n">
        <x:f>SUMIF('V2_Scenarios'!$A$4:$A$12,$B79,'V2_Scenarios'!$D$4:$D$12)</x:f>
        <x:v>0.2</x:v>
      </x:c>
      <x:c r="F79" s="16" t="n">
        <x:f>SUMIF('V2_Scenarios'!$A$4:$A$12,$B79,'V2_Scenarios'!$E$4:$E$12)</x:f>
        <x:v>0.75</x:v>
      </x:c>
      <x:c r="G79" s="16" t="n">
        <x:f>SUMIF('V2_Scenarios'!$A$4:$A$12,$B79,'V2_Scenarios'!$F$4:$F$12)</x:f>
        <x:v>0.8</x:v>
      </x:c>
      <x:c r="H79" s="16" t="n">
        <x:f>SUMIF('V2_Scenarios'!$A$4:$A$12,$B79,'V2_Scenarios'!$G$4:$G$12)</x:f>
        <x:v>0.3</x:v>
      </x:c>
      <x:c r="I79" s="16" t="n">
        <x:f>SUMIF('V2_Scenarios'!$A$4:$A$12,$B79,'V2_Scenarios'!$H$4:$H$12)</x:f>
        <x:v>0.35</x:v>
      </x:c>
      <x:c r="J79" s="16" t="n">
        <x:f>SUMIF('V2_Scenarios'!$A$4:$A$12,$B79,'V2_Scenarios'!$I$4:$I$12)</x:f>
        <x:v>0.35</x:v>
      </x:c>
      <x:c r="K79" s="16" t="n">
        <x:f>SUMIF('V2_Units'!$A$4:$A$13,$A79,'V2_Units'!$W$4:$W$13)</x:f>
        <x:v>175</x:v>
      </x:c>
      <x:c r="L79" s="16" t="n">
        <x:f>(SUMIF('V2_Units'!$A$4:$A$13,$A79,'V2_Units'!$K$4:$K$13)*(1-E79)+SUMIF('V2_Units'!$A$4:$A$13,$A79,'V2_Units'!$L$4:$L$13)*E79+SUMIF('V2_Units'!$A$4:$A$13,$A79,'V2_Units'!$O$4:$O$13)*D79)*(1-0.15*J79)</x:f>
        <x:v>15.36466</x:v>
      </x:c>
      <x:c r="M79" s="16" t="n">
        <x:f>1-G79*SUMIF('V2_Units'!$A$4:$A$13,$A79,'V2_Units'!$Q$4:$Q$13)</x:f>
        <x:v>0.584</x:v>
      </x:c>
      <x:c r="N79" s="16" t="n">
        <x:f>1+(SUMIF('V2_Units'!$A$4:$A$13,$A79,'V2_Units'!$P$4:$P$13)-1)*F79*(1-H79)</x:f>
        <x:v>1.8925</x:v>
      </x:c>
      <x:c r="O79" s="16" t="n">
        <x:f>1+SUMIF('V2_Units'!$A$4:$A$13,$A79,'V2_Units'!$R$4:$R$13)*SUMIF('V2_Units'!$A$4:$A$13,$A79,'V2_Units'!$S$4:$S$13)*(1-I79)</x:f>
        <x:v>1.1274</x:v>
      </x:c>
      <x:c r="P79" s="16" t="n">
        <x:f>IF(OR(AND($C79="Anti-Armor",D79&gt;=0.5),AND($C79="Premium Anti-Armor",D79&gt;=0.5),AND($C79="Ranged DPS",E79&gt;=0.5),AND($C79="Mobile General",J79&gt;=0.6),AND($C79="Siege / AOE",OR($B79="Tank Line",$B79="High-Ground Defense",$B79="Narrow Choke — Ranged")),AND($C79="Premium AOE",F79&gt;=0.7),AND($C79="Swarm",F79&gt;=0.7),AND($C79="Frontline",G79&gt;=0.7)),1.12,1.00)</x:f>
        <x:v>1.12</x:v>
      </x:c>
      <x:c r="Q79" s="54" t="n">
        <x:f>SUMIF('V2_Units'!$A$4:$A$13,$A79,'V2_Units'!$AD$4:$AD$13)*(L79/MAX(0.01,SUMIF('V2_Units'!$A$4:$A$13,$A79,'V2_Units'!$K$4:$K$13)))*M79*N79*O79*P79</x:f>
        <x:v>1.0811504580122278</x:v>
      </x:c>
      <x:c r="R79" s="54" t="n">
        <x:f>Q79-SUMIF('V2_Units'!$A$4:$A$13,$A79,'V2_Units'!$AD$4:$AD$13)</x:f>
        <x:v>0.05910045801222785</x:v>
      </x:c>
      <x:c r="S79" s="51" t="str">
        <x:f>IF(Q79&gt;'V2_Parameters'!$B$15,"OVER",IF(Q79&lt;'V2_Parameters'!$B$14,"UNDER","OK"))&amp;" | "&amp;IF(P79&gt;1,"role-fit","base")</x:f>
        <x:v>OK | role-fit</x:v>
      </x:c>
    </x:row>
    <x:row r="80">
      <x:c r="A80" t="str">
        <x:v>Siege Tank</x:v>
      </x:c>
      <x:c r="B80" t="str">
        <x:v>Tank Line</x:v>
      </x:c>
      <x:c r="C80" t="str">
        <x:f>VLOOKUP($A80,'V2_Units'!$A$4:$B$13,2,FALSE)</x:f>
        <x:v>Siege / AOE</x:v>
      </x:c>
      <x:c r="D80" s="16" t="n">
        <x:f>SUMIF('V2_Scenarios'!$A$4:$A$12,$B80,'V2_Scenarios'!$C$4:$C$12)</x:f>
        <x:v>0.65</x:v>
      </x:c>
      <x:c r="E80" s="16" t="n">
        <x:f>SUMIF('V2_Scenarios'!$A$4:$A$12,$B80,'V2_Scenarios'!$D$4:$D$12)</x:f>
        <x:v>0.15</x:v>
      </x:c>
      <x:c r="F80" s="16" t="n">
        <x:f>SUMIF('V2_Scenarios'!$A$4:$A$12,$B80,'V2_Scenarios'!$E$4:$E$12)</x:f>
        <x:v>0.9</x:v>
      </x:c>
      <x:c r="G80" s="16" t="n">
        <x:f>SUMIF('V2_Scenarios'!$A$4:$A$12,$B80,'V2_Scenarios'!$F$4:$F$12)</x:f>
        <x:v>0.75</x:v>
      </x:c>
      <x:c r="H80" s="16" t="n">
        <x:f>SUMIF('V2_Scenarios'!$A$4:$A$12,$B80,'V2_Scenarios'!$G$4:$G$12)</x:f>
        <x:v>0.35</x:v>
      </x:c>
      <x:c r="I80" s="16" t="n">
        <x:f>SUMIF('V2_Scenarios'!$A$4:$A$12,$B80,'V2_Scenarios'!$H$4:$H$12)</x:f>
        <x:v>0.3</x:v>
      </x:c>
      <x:c r="J80" s="16" t="n">
        <x:f>SUMIF('V2_Scenarios'!$A$4:$A$12,$B80,'V2_Scenarios'!$I$4:$I$12)</x:f>
        <x:v>0.6</x:v>
      </x:c>
      <x:c r="K80" s="16" t="n">
        <x:f>SUMIF('V2_Units'!$A$4:$A$13,$A80,'V2_Units'!$W$4:$W$13)</x:f>
        <x:v>175</x:v>
      </x:c>
      <x:c r="L80" s="16" t="n">
        <x:f>(SUMIF('V2_Units'!$A$4:$A$13,$A80,'V2_Units'!$K$4:$K$13)*(1-E80)+SUMIF('V2_Units'!$A$4:$A$13,$A80,'V2_Units'!$L$4:$L$13)*E80+SUMIF('V2_Units'!$A$4:$A$13,$A80,'V2_Units'!$O$4:$O$13)*D80)*(1-0.15*J80)</x:f>
        <x:v>15.678844999999999</x:v>
      </x:c>
      <x:c r="M80" s="16" t="n">
        <x:f>1-G80*SUMIF('V2_Units'!$A$4:$A$13,$A80,'V2_Units'!$Q$4:$Q$13)</x:f>
        <x:v>0.61</x:v>
      </x:c>
      <x:c r="N80" s="16" t="n">
        <x:f>1+(SUMIF('V2_Units'!$A$4:$A$13,$A80,'V2_Units'!$P$4:$P$13)-1)*F80*(1-H80)</x:f>
        <x:v>1.9945000000000002</x:v>
      </x:c>
      <x:c r="O80" s="16" t="n">
        <x:f>1+SUMIF('V2_Units'!$A$4:$A$13,$A80,'V2_Units'!$R$4:$R$13)*SUMIF('V2_Units'!$A$4:$A$13,$A80,'V2_Units'!$S$4:$S$13)*(1-I80)</x:f>
        <x:v>1.1372</x:v>
      </x:c>
      <x:c r="P80" s="16" t="n">
        <x:f>IF(OR(AND($C80="Anti-Armor",D80&gt;=0.5),AND($C80="Premium Anti-Armor",D80&gt;=0.5),AND($C80="Ranged DPS",E80&gt;=0.5),AND($C80="Mobile General",J80&gt;=0.6),AND($C80="Siege / AOE",OR($B80="Tank Line",$B80="High-Ground Defense",$B80="Narrow Choke — Ranged")),AND($C80="Premium AOE",F80&gt;=0.7),AND($C80="Swarm",F80&gt;=0.7),AND($C80="Frontline",G80&gt;=0.7)),1.12,1.00)</x:f>
        <x:v>1.12</x:v>
      </x:c>
      <x:c r="Q80" s="54" t="n">
        <x:f>SUMIF('V2_Units'!$A$4:$A$13,$A80,'V2_Units'!$AD$4:$AD$13)*(L80/MAX(0.01,SUMIF('V2_Units'!$A$4:$A$13,$A80,'V2_Units'!$K$4:$K$13)))*M80*N80*O80*P80</x:f>
        <x:v>1.2250426527293232</x:v>
      </x:c>
      <x:c r="R80" s="54" t="n">
        <x:f>Q80-SUMIF('V2_Units'!$A$4:$A$13,$A80,'V2_Units'!$AD$4:$AD$13)</x:f>
        <x:v>0.20299265272932332</x:v>
      </x:c>
      <x:c r="S80" s="51" t="str">
        <x:f>IF(Q80&gt;'V2_Parameters'!$B$15,"OVER",IF(Q80&lt;'V2_Parameters'!$B$14,"UNDER","OK"))&amp;" | "&amp;IF(P80&gt;1,"role-fit","base")</x:f>
        <x:v>OVER | role-fit</x:v>
      </x:c>
    </x:row>
    <x:row r="81">
      <x:c r="A81" t="str">
        <x:v>Siege Tank</x:v>
      </x:c>
      <x:c r="B81" t="str">
        <x:v>Massive Swarm</x:v>
      </x:c>
      <x:c r="C81" t="str">
        <x:f>VLOOKUP($A81,'V2_Units'!$A$4:$B$13,2,FALSE)</x:f>
        <x:v>Siege / AOE</x:v>
      </x:c>
      <x:c r="D81" s="16" t="n">
        <x:f>SUMIF('V2_Scenarios'!$A$4:$A$12,$B81,'V2_Scenarios'!$C$4:$C$12)</x:f>
        <x:v>0.2</x:v>
      </x:c>
      <x:c r="E81" s="16" t="n">
        <x:f>SUMIF('V2_Scenarios'!$A$4:$A$12,$B81,'V2_Scenarios'!$D$4:$D$12)</x:f>
        <x:v>0.1</x:v>
      </x:c>
      <x:c r="F81" s="16" t="n">
        <x:f>SUMIF('V2_Scenarios'!$A$4:$A$12,$B81,'V2_Scenarios'!$E$4:$E$12)</x:f>
        <x:v>0.95</x:v>
      </x:c>
      <x:c r="G81" s="16" t="n">
        <x:f>SUMIF('V2_Scenarios'!$A$4:$A$12,$B81,'V2_Scenarios'!$F$4:$F$12)</x:f>
        <x:v>0.35</x:v>
      </x:c>
      <x:c r="H81" s="16" t="n">
        <x:f>SUMIF('V2_Scenarios'!$A$4:$A$12,$B81,'V2_Scenarios'!$G$4:$G$12)</x:f>
        <x:v>0.2</x:v>
      </x:c>
      <x:c r="I81" s="16" t="n">
        <x:f>SUMIF('V2_Scenarios'!$A$4:$A$12,$B81,'V2_Scenarios'!$H$4:$H$12)</x:f>
        <x:v>0.3</x:v>
      </x:c>
      <x:c r="J81" s="16" t="n">
        <x:f>SUMIF('V2_Scenarios'!$A$4:$A$12,$B81,'V2_Scenarios'!$I$4:$I$12)</x:f>
        <x:v>0.4</x:v>
      </x:c>
      <x:c r="K81" s="16" t="n">
        <x:f>SUMIF('V2_Units'!$A$4:$A$13,$A81,'V2_Units'!$W$4:$W$13)</x:f>
        <x:v>175</x:v>
      </x:c>
      <x:c r="L81" s="16" t="n">
        <x:f>(SUMIF('V2_Units'!$A$4:$A$13,$A81,'V2_Units'!$K$4:$K$13)*(1-E81)+SUMIF('V2_Units'!$A$4:$A$13,$A81,'V2_Units'!$L$4:$L$13)*E81+SUMIF('V2_Units'!$A$4:$A$13,$A81,'V2_Units'!$O$4:$O$13)*D81)*(1-0.15*J81)</x:f>
        <x:v>17.148419999999998</x:v>
      </x:c>
      <x:c r="M81" s="16" t="n">
        <x:f>1-G81*SUMIF('V2_Units'!$A$4:$A$13,$A81,'V2_Units'!$Q$4:$Q$13)</x:f>
        <x:v>0.8180000000000001</x:v>
      </x:c>
      <x:c r="N81" s="16" t="n">
        <x:f>1+(SUMIF('V2_Units'!$A$4:$A$13,$A81,'V2_Units'!$P$4:$P$13)-1)*F81*(1-H81)</x:f>
        <x:v>2.292</x:v>
      </x:c>
      <x:c r="O81" s="16" t="n">
        <x:f>1+SUMIF('V2_Units'!$A$4:$A$13,$A81,'V2_Units'!$R$4:$R$13)*SUMIF('V2_Units'!$A$4:$A$13,$A81,'V2_Units'!$S$4:$S$13)*(1-I81)</x:f>
        <x:v>1.1372</x:v>
      </x:c>
      <x:c r="P81" s="16" t="n">
        <x:f>IF(OR(AND($C81="Anti-Armor",D81&gt;=0.5),AND($C81="Premium Anti-Armor",D81&gt;=0.5),AND($C81="Ranged DPS",E81&gt;=0.5),AND($C81="Mobile General",J81&gt;=0.6),AND($C81="Siege / AOE",OR($B81="Tank Line",$B81="High-Ground Defense",$B81="Narrow Choke — Ranged")),AND($C81="Premium AOE",F81&gt;=0.7),AND($C81="Swarm",F81&gt;=0.7),AND($C81="Frontline",G81&gt;=0.7)),1.12,1.00)</x:f>
        <x:v>1</x:v>
      </x:c>
      <x:c r="Q81" s="54" t="n">
        <x:f>SUMIF('V2_Units'!$A$4:$A$13,$A81,'V2_Units'!$AD$4:$AD$13)*(L81/MAX(0.01,SUMIF('V2_Units'!$A$4:$A$13,$A81,'V2_Units'!$K$4:$K$13)))*M81*N81*O81*P81</x:f>
        <x:v>1.8435175381537254</x:v>
      </x:c>
      <x:c r="R81" s="54" t="n">
        <x:f>Q81-SUMIF('V2_Units'!$A$4:$A$13,$A81,'V2_Units'!$AD$4:$AD$13)</x:f>
        <x:v>0.8214675381537255</x:v>
      </x:c>
      <x:c r="S81" s="51" t="str">
        <x:f>IF(Q81&gt;'V2_Parameters'!$B$15,"OVER",IF(Q81&lt;'V2_Parameters'!$B$14,"UNDER","OK"))&amp;" | "&amp;IF(P81&gt;1,"role-fit","base")</x:f>
        <x:v>OVER | base</x:v>
      </x:c>
    </x:row>
    <x:row r="82">
      <x:c r="A82" t="str">
        <x:v>Siege Tank</x:v>
      </x:c>
      <x:c r="B82" t="str">
        <x:v>High-Ground Defense</x:v>
      </x:c>
      <x:c r="C82" t="str">
        <x:f>VLOOKUP($A82,'V2_Units'!$A$4:$B$13,2,FALSE)</x:f>
        <x:v>Siege / AOE</x:v>
      </x:c>
      <x:c r="D82" s="16" t="n">
        <x:f>SUMIF('V2_Scenarios'!$A$4:$A$12,$B82,'V2_Scenarios'!$C$4:$C$12)</x:f>
        <x:v>0.55</x:v>
      </x:c>
      <x:c r="E82" s="16" t="n">
        <x:f>SUMIF('V2_Scenarios'!$A$4:$A$12,$B82,'V2_Scenarios'!$D$4:$D$12)</x:f>
        <x:v>0.15</x:v>
      </x:c>
      <x:c r="F82" s="16" t="n">
        <x:f>SUMIF('V2_Scenarios'!$A$4:$A$12,$B82,'V2_Scenarios'!$E$4:$E$12)</x:f>
        <x:v>0.7</x:v>
      </x:c>
      <x:c r="G82" s="16" t="n">
        <x:f>SUMIF('V2_Scenarios'!$A$4:$A$12,$B82,'V2_Scenarios'!$F$4:$F$12)</x:f>
        <x:v>0.55</x:v>
      </x:c>
      <x:c r="H82" s="16" t="n">
        <x:f>SUMIF('V2_Scenarios'!$A$4:$A$12,$B82,'V2_Scenarios'!$G$4:$G$12)</x:f>
        <x:v>0.5</x:v>
      </x:c>
      <x:c r="I82" s="16" t="n">
        <x:f>SUMIF('V2_Scenarios'!$A$4:$A$12,$B82,'V2_Scenarios'!$H$4:$H$12)</x:f>
        <x:v>0.3</x:v>
      </x:c>
      <x:c r="J82" s="16" t="n">
        <x:f>SUMIF('V2_Scenarios'!$A$4:$A$12,$B82,'V2_Scenarios'!$I$4:$I$12)</x:f>
        <x:v>0.55</x:v>
      </x:c>
      <x:c r="K82" s="16" t="n">
        <x:f>SUMIF('V2_Units'!$A$4:$A$13,$A82,'V2_Units'!$W$4:$W$13)</x:f>
        <x:v>175</x:v>
      </x:c>
      <x:c r="L82" s="16" t="n">
        <x:f>(SUMIF('V2_Units'!$A$4:$A$13,$A82,'V2_Units'!$K$4:$K$13)*(1-E82)+SUMIF('V2_Units'!$A$4:$A$13,$A82,'V2_Units'!$L$4:$L$13)*E82+SUMIF('V2_Units'!$A$4:$A$13,$A82,'V2_Units'!$O$4:$O$13)*D82)*(1-0.15*J82)</x:f>
        <x:v>15.808066249999998</x:v>
      </x:c>
      <x:c r="M82" s="16" t="n">
        <x:f>1-G82*SUMIF('V2_Units'!$A$4:$A$13,$A82,'V2_Units'!$Q$4:$Q$13)</x:f>
        <x:v>0.714</x:v>
      </x:c>
      <x:c r="N82" s="16" t="n">
        <x:f>1+(SUMIF('V2_Units'!$A$4:$A$13,$A82,'V2_Units'!$P$4:$P$13)-1)*F82*(1-H82)</x:f>
        <x:v>1.595</x:v>
      </x:c>
      <x:c r="O82" s="16" t="n">
        <x:f>1+SUMIF('V2_Units'!$A$4:$A$13,$A82,'V2_Units'!$R$4:$R$13)*SUMIF('V2_Units'!$A$4:$A$13,$A82,'V2_Units'!$S$4:$S$13)*(1-I82)</x:f>
        <x:v>1.1372</x:v>
      </x:c>
      <x:c r="P82" s="16" t="n">
        <x:f>IF(OR(AND($C82="Anti-Armor",D82&gt;=0.5),AND($C82="Premium Anti-Armor",D82&gt;=0.5),AND($C82="Ranged DPS",E82&gt;=0.5),AND($C82="Mobile General",J82&gt;=0.6),AND($C82="Siege / AOE",OR($B82="Tank Line",$B82="High-Ground Defense",$B82="Narrow Choke — Ranged")),AND($C82="Premium AOE",F82&gt;=0.7),AND($C82="Swarm",F82&gt;=0.7),AND($C82="Frontline",G82&gt;=0.7)),1.12,1.00)</x:f>
        <x:v>1.12</x:v>
      </x:c>
      <x:c r="Q82" s="54" t="n">
        <x:f>SUMIF('V2_Units'!$A$4:$A$13,$A82,'V2_Units'!$AD$4:$AD$13)*(L82/MAX(0.01,SUMIF('V2_Units'!$A$4:$A$13,$A82,'V2_Units'!$K$4:$K$13)))*M82*N82*O82*P82</x:f>
        <x:v>1.1561412962936821</x:v>
      </x:c>
      <x:c r="R82" s="54" t="n">
        <x:f>Q82-SUMIF('V2_Units'!$A$4:$A$13,$A82,'V2_Units'!$AD$4:$AD$13)</x:f>
        <x:v>0.13409129629368222</x:v>
      </x:c>
      <x:c r="S82" s="51" t="str">
        <x:f>IF(Q82&gt;'V2_Parameters'!$B$15,"OVER",IF(Q82&lt;'V2_Parameters'!$B$14,"UNDER","OK"))&amp;" | "&amp;IF(P82&gt;1,"role-fit","base")</x:f>
        <x:v>OVER | role-fit</x:v>
      </x:c>
    </x:row>
    <x:row r="83">
      <x:c r="A83" t="str">
        <x:v>Siege Tank</x:v>
      </x:c>
      <x:c r="B83" t="str">
        <x:v>Anti-Air Screen</x:v>
      </x:c>
      <x:c r="C83" t="str">
        <x:f>VLOOKUP($A83,'V2_Units'!$A$4:$B$13,2,FALSE)</x:f>
        <x:v>Siege / AOE</x:v>
      </x:c>
      <x:c r="D83" s="16" t="n">
        <x:f>SUMIF('V2_Scenarios'!$A$4:$A$12,$B83,'V2_Scenarios'!$C$4:$C$12)</x:f>
        <x:v>0.2</x:v>
      </x:c>
      <x:c r="E83" s="16" t="n">
        <x:f>SUMIF('V2_Scenarios'!$A$4:$A$12,$B83,'V2_Scenarios'!$D$4:$D$12)</x:f>
        <x:v>0.8</x:v>
      </x:c>
      <x:c r="F83" s="16" t="n">
        <x:f>SUMIF('V2_Scenarios'!$A$4:$A$12,$B83,'V2_Scenarios'!$E$4:$E$12)</x:f>
        <x:v>0.6</x:v>
      </x:c>
      <x:c r="G83" s="16" t="n">
        <x:f>SUMIF('V2_Scenarios'!$A$4:$A$12,$B83,'V2_Scenarios'!$F$4:$F$12)</x:f>
        <x:v>0.45</x:v>
      </x:c>
      <x:c r="H83" s="16" t="n">
        <x:f>SUMIF('V2_Scenarios'!$A$4:$A$12,$B83,'V2_Scenarios'!$G$4:$G$12)</x:f>
        <x:v>0.55</x:v>
      </x:c>
      <x:c r="I83" s="16" t="n">
        <x:f>SUMIF('V2_Scenarios'!$A$4:$A$12,$B83,'V2_Scenarios'!$H$4:$H$12)</x:f>
        <x:v>0.25</x:v>
      </x:c>
      <x:c r="J83" s="16" t="n">
        <x:f>SUMIF('V2_Scenarios'!$A$4:$A$12,$B83,'V2_Scenarios'!$I$4:$I$12)</x:f>
        <x:v>0.45</x:v>
      </x:c>
      <x:c r="K83" s="16" t="n">
        <x:f>SUMIF('V2_Units'!$A$4:$A$13,$A83,'V2_Units'!$W$4:$W$13)</x:f>
        <x:v>175</x:v>
      </x:c>
      <x:c r="L83" s="16" t="n">
        <x:f>(SUMIF('V2_Units'!$A$4:$A$13,$A83,'V2_Units'!$K$4:$K$13)*(1-E83)+SUMIF('V2_Units'!$A$4:$A$13,$A83,'V2_Units'!$L$4:$L$13)*E83+SUMIF('V2_Units'!$A$4:$A$13,$A83,'V2_Units'!$O$4:$O$13)*D83)*(1-0.15*J83)</x:f>
        <x:v>3.7803549999999992</x:v>
      </x:c>
      <x:c r="M83" s="16" t="n">
        <x:f>1-G83*SUMIF('V2_Units'!$A$4:$A$13,$A83,'V2_Units'!$Q$4:$Q$13)</x:f>
        <x:v>0.766</x:v>
      </x:c>
      <x:c r="N83" s="16" t="n">
        <x:f>1+(SUMIF('V2_Units'!$A$4:$A$13,$A83,'V2_Units'!$P$4:$P$13)-1)*F83*(1-H83)</x:f>
        <x:v>1.459</x:v>
      </x:c>
      <x:c r="O83" s="16" t="n">
        <x:f>1+SUMIF('V2_Units'!$A$4:$A$13,$A83,'V2_Units'!$R$4:$R$13)*SUMIF('V2_Units'!$A$4:$A$13,$A83,'V2_Units'!$S$4:$S$13)*(1-I83)</x:f>
        <x:v>1.147</x:v>
      </x:c>
      <x:c r="P83" s="16" t="n">
        <x:f>IF(OR(AND($C83="Anti-Armor",D83&gt;=0.5),AND($C83="Premium Anti-Armor",D83&gt;=0.5),AND($C83="Ranged DPS",E83&gt;=0.5),AND($C83="Mobile General",J83&gt;=0.6),AND($C83="Siege / AOE",OR($B83="Tank Line",$B83="High-Ground Defense",$B83="Narrow Choke — Ranged")),AND($C83="Premium AOE",F83&gt;=0.7),AND($C83="Swarm",F83&gt;=0.7),AND($C83="Frontline",G83&gt;=0.7)),1.12,1.00)</x:f>
        <x:v>1</x:v>
      </x:c>
      <x:c r="Q83" s="54" t="n">
        <x:f>SUMIF('V2_Units'!$A$4:$A$13,$A83,'V2_Units'!$AD$4:$AD$13)*(L83/MAX(0.01,SUMIF('V2_Units'!$A$4:$A$13,$A83,'V2_Units'!$K$4:$K$13)))*M83*N83*O83*P83</x:f>
        <x:v>0.24434218778571926</x:v>
      </x:c>
      <x:c r="R83" s="54" t="n">
        <x:f>Q83-SUMIF('V2_Units'!$A$4:$A$13,$A83,'V2_Units'!$AD$4:$AD$13)</x:f>
        <x:v>-0.7777078122142806</x:v>
      </x:c>
      <x:c r="S83" s="51" t="str">
        <x:f>IF(Q83&gt;'V2_Parameters'!$B$15,"OVER",IF(Q83&lt;'V2_Parameters'!$B$14,"UNDER","OK"))&amp;" | "&amp;IF(P83&gt;1,"role-fit","base")</x:f>
        <x:v>UNDER | base</x:v>
      </x:c>
    </x:row>
    <x:row r="84">
      <x:c r="A84" t="str">
        <x:v>Siege Tank</x:v>
      </x:c>
      <x:c r="B84" t="str">
        <x:v>Kite Scenario</x:v>
      </x:c>
      <x:c r="C84" t="str">
        <x:f>VLOOKUP($A84,'V2_Units'!$A$4:$B$13,2,FALSE)</x:f>
        <x:v>Siege / AOE</x:v>
      </x:c>
      <x:c r="D84" s="16" t="n">
        <x:f>SUMIF('V2_Scenarios'!$A$4:$A$12,$B84,'V2_Scenarios'!$C$4:$C$12)</x:f>
        <x:v>0.25</x:v>
      </x:c>
      <x:c r="E84" s="16" t="n">
        <x:f>SUMIF('V2_Scenarios'!$A$4:$A$12,$B84,'V2_Scenarios'!$D$4:$D$12)</x:f>
        <x:v>0.2</x:v>
      </x:c>
      <x:c r="F84" s="16" t="n">
        <x:f>SUMIF('V2_Scenarios'!$A$4:$A$12,$B84,'V2_Scenarios'!$E$4:$E$12)</x:f>
        <x:v>0.55</x:v>
      </x:c>
      <x:c r="G84" s="16" t="n">
        <x:f>SUMIF('V2_Scenarios'!$A$4:$A$12,$B84,'V2_Scenarios'!$F$4:$F$12)</x:f>
        <x:v>0.3</x:v>
      </x:c>
      <x:c r="H84" s="16" t="n">
        <x:f>SUMIF('V2_Scenarios'!$A$4:$A$12,$B84,'V2_Scenarios'!$G$4:$G$12)</x:f>
        <x:v>0.65</x:v>
      </x:c>
      <x:c r="I84" s="16" t="n">
        <x:f>SUMIF('V2_Scenarios'!$A$4:$A$12,$B84,'V2_Scenarios'!$H$4:$H$12)</x:f>
        <x:v>0.45</x:v>
      </x:c>
      <x:c r="J84" s="16" t="n">
        <x:f>SUMIF('V2_Scenarios'!$A$4:$A$12,$B84,'V2_Scenarios'!$I$4:$I$12)</x:f>
        <x:v>0.8</x:v>
      </x:c>
      <x:c r="K84" s="16" t="n">
        <x:f>SUMIF('V2_Units'!$A$4:$A$13,$A84,'V2_Units'!$W$4:$W$13)</x:f>
        <x:v>175</x:v>
      </x:c>
      <x:c r="L84" s="16" t="n">
        <x:f>(SUMIF('V2_Units'!$A$4:$A$13,$A84,'V2_Units'!$K$4:$K$13)*(1-E84)+SUMIF('V2_Units'!$A$4:$A$13,$A84,'V2_Units'!$L$4:$L$13)*E84+SUMIF('V2_Units'!$A$4:$A$13,$A84,'V2_Units'!$O$4:$O$13)*D84)*(1-0.15*J84)</x:f>
        <x:v>14.270080000000002</x:v>
      </x:c>
      <x:c r="M84" s="16" t="n">
        <x:f>1-G84*SUMIF('V2_Units'!$A$4:$A$13,$A84,'V2_Units'!$Q$4:$Q$13)</x:f>
        <x:v>0.844</x:v>
      </x:c>
      <x:c r="N84" s="16" t="n">
        <x:f>1+(SUMIF('V2_Units'!$A$4:$A$13,$A84,'V2_Units'!$P$4:$P$13)-1)*F84*(1-H84)</x:f>
        <x:v>1.32725</x:v>
      </x:c>
      <x:c r="O84" s="16" t="n">
        <x:f>1+SUMIF('V2_Units'!$A$4:$A$13,$A84,'V2_Units'!$R$4:$R$13)*SUMIF('V2_Units'!$A$4:$A$13,$A84,'V2_Units'!$S$4:$S$13)*(1-I84)</x:f>
        <x:v>1.1078000000000001</x:v>
      </x:c>
      <x:c r="P84" s="16" t="n">
        <x:f>IF(OR(AND($C84="Anti-Armor",D84&gt;=0.5),AND($C84="Premium Anti-Armor",D84&gt;=0.5),AND($C84="Ranged DPS",E84&gt;=0.5),AND($C84="Mobile General",J84&gt;=0.6),AND($C84="Siege / AOE",OR($B84="Tank Line",$B84="High-Ground Defense",$B84="Narrow Choke — Ranged")),AND($C84="Premium AOE",F84&gt;=0.7),AND($C84="Swarm",F84&gt;=0.7),AND($C84="Frontline",G84&gt;=0.7)),1.12,1.00)</x:f>
        <x:v>1</x:v>
      </x:c>
      <x:c r="Q84" s="54" t="n">
        <x:f>SUMIF('V2_Units'!$A$4:$A$13,$A84,'V2_Units'!$AD$4:$AD$13)*(L84/MAX(0.01,SUMIF('V2_Units'!$A$4:$A$13,$A84,'V2_Units'!$K$4:$K$13)))*M84*N84*O84*P84</x:f>
        <x:v>0.8928969575475912</x:v>
      </x:c>
      <x:c r="R84" s="54" t="n">
        <x:f>Q84-SUMIF('V2_Units'!$A$4:$A$13,$A84,'V2_Units'!$AD$4:$AD$13)</x:f>
        <x:v>-0.12915304245240866</x:v>
      </x:c>
      <x:c r="S84" s="51" t="str">
        <x:f>IF(Q84&gt;'V2_Parameters'!$B$15,"OVER",IF(Q84&lt;'V2_Parameters'!$B$14,"UNDER","OK"))&amp;" | "&amp;IF(P84&gt;1,"role-fit","base")</x:f>
        <x:v>UNDER | base</x:v>
      </x:c>
    </x:row>
    <x:row r="85">
      <x:c r="A85" t="str">
        <x:v>Colossus</x:v>
      </x:c>
      <x:c r="B85" t="str">
        <x:v>Open Field — Light Mass</x:v>
      </x:c>
      <x:c r="C85" t="str">
        <x:f>VLOOKUP($A85,'V2_Units'!$A$4:$B$13,2,FALSE)</x:f>
        <x:v>Premium AOE</x:v>
      </x:c>
      <x:c r="D85" s="16" t="n">
        <x:f>SUMIF('V2_Scenarios'!$A$4:$A$12,$B85,'V2_Scenarios'!$C$4:$C$12)</x:f>
        <x:v>0.1</x:v>
      </x:c>
      <x:c r="E85" s="16" t="n">
        <x:f>SUMIF('V2_Scenarios'!$A$4:$A$12,$B85,'V2_Scenarios'!$D$4:$D$12)</x:f>
        <x:v>0.2</x:v>
      </x:c>
      <x:c r="F85" s="16" t="n">
        <x:f>SUMIF('V2_Scenarios'!$A$4:$A$12,$B85,'V2_Scenarios'!$E$4:$E$12)</x:f>
        <x:v>0.45</x:v>
      </x:c>
      <x:c r="G85" s="16" t="n">
        <x:f>SUMIF('V2_Scenarios'!$A$4:$A$12,$B85,'V2_Scenarios'!$F$4:$F$12)</x:f>
        <x:v>0.2</x:v>
      </x:c>
      <x:c r="H85" s="16" t="n">
        <x:f>SUMIF('V2_Scenarios'!$A$4:$A$12,$B85,'V2_Scenarios'!$G$4:$G$12)</x:f>
        <x:v>0.6</x:v>
      </x:c>
      <x:c r="I85" s="16" t="n">
        <x:f>SUMIF('V2_Scenarios'!$A$4:$A$12,$B85,'V2_Scenarios'!$H$4:$H$12)</x:f>
        <x:v>0.35</x:v>
      </x:c>
      <x:c r="J85" s="16" t="n">
        <x:f>SUMIF('V2_Scenarios'!$A$4:$A$12,$B85,'V2_Scenarios'!$I$4:$I$12)</x:f>
        <x:v>0.25</x:v>
      </x:c>
      <x:c r="K85" s="16" t="n">
        <x:f>SUMIF('V2_Units'!$A$4:$A$13,$A85,'V2_Units'!$W$4:$W$13)</x:f>
        <x:v>350</x:v>
      </x:c>
      <x:c r="L85" s="16" t="n">
        <x:f>(SUMIF('V2_Units'!$A$4:$A$13,$A85,'V2_Units'!$K$4:$K$13)*(1-E85)+SUMIF('V2_Units'!$A$4:$A$13,$A85,'V2_Units'!$L$4:$L$13)*E85+SUMIF('V2_Units'!$A$4:$A$13,$A85,'V2_Units'!$O$4:$O$13)*D85)*(1-0.15*J85)</x:f>
        <x:v>14.399000000000001</x:v>
      </x:c>
      <x:c r="M85" s="16" t="n">
        <x:f>1-G85*SUMIF('V2_Units'!$A$4:$A$13,$A85,'V2_Units'!$Q$4:$Q$13)</x:f>
        <x:v>0.88</x:v>
      </x:c>
      <x:c r="N85" s="16" t="n">
        <x:f>1+(SUMIF('V2_Units'!$A$4:$A$13,$A85,'V2_Units'!$P$4:$P$13)-1)*F85*(1-H85)</x:f>
        <x:v>1.27</x:v>
      </x:c>
      <x:c r="O85" s="16" t="n">
        <x:f>1+SUMIF('V2_Units'!$A$4:$A$13,$A85,'V2_Units'!$R$4:$R$13)*SUMIF('V2_Units'!$A$4:$A$13,$A85,'V2_Units'!$S$4:$S$13)*(1-I85)</x:f>
        <x:v>1.09295</x:v>
      </x:c>
      <x:c r="P85" s="16" t="n">
        <x:f>IF(OR(AND($C85="Anti-Armor",D85&gt;=0.5),AND($C85="Premium Anti-Armor",D85&gt;=0.5),AND($C85="Ranged DPS",E85&gt;=0.5),AND($C85="Mobile General",J85&gt;=0.6),AND($C85="Siege / AOE",OR($B85="Tank Line",$B85="High-Ground Defense",$B85="Narrow Choke — Ranged")),AND($C85="Premium AOE",F85&gt;=0.7),AND($C85="Swarm",F85&gt;=0.7),AND($C85="Frontline",G85&gt;=0.7)),1.12,1.00)</x:f>
        <x:v>1</x:v>
      </x:c>
      <x:c r="Q85" s="54" t="n">
        <x:f>SUMIF('V2_Units'!$A$4:$A$13,$A85,'V2_Units'!$AD$4:$AD$13)*(L85/MAX(0.01,SUMIF('V2_Units'!$A$4:$A$13,$A85,'V2_Units'!$K$4:$K$13)))*M85*N85*O85*P85</x:f>
        <x:v>0.9546625211306263</x:v>
      </x:c>
      <x:c r="R85" s="54" t="n">
        <x:f>Q85-SUMIF('V2_Units'!$A$4:$A$13,$A85,'V2_Units'!$AD$4:$AD$13)</x:f>
        <x:v>-0.06035247886937367</x:v>
      </x:c>
      <x:c r="S85" s="51" t="str">
        <x:f>IF(Q85&gt;'V2_Parameters'!$B$15,"OVER",IF(Q85&lt;'V2_Parameters'!$B$14,"UNDER","OK"))&amp;" | "&amp;IF(P85&gt;1,"role-fit","base")</x:f>
        <x:v>OK | base</x:v>
      </x:c>
    </x:row>
    <x:row r="86">
      <x:c r="A86" t="str">
        <x:v>Colossus</x:v>
      </x:c>
      <x:c r="B86" t="str">
        <x:v>Open Field — Armored</x:v>
      </x:c>
      <x:c r="C86" t="str">
        <x:f>VLOOKUP($A86,'V2_Units'!$A$4:$B$13,2,FALSE)</x:f>
        <x:v>Premium AOE</x:v>
      </x:c>
      <x:c r="D86" s="16" t="n">
        <x:f>SUMIF('V2_Scenarios'!$A$4:$A$12,$B86,'V2_Scenarios'!$C$4:$C$12)</x:f>
        <x:v>0.85</x:v>
      </x:c>
      <x:c r="E86" s="16" t="n">
        <x:f>SUMIF('V2_Scenarios'!$A$4:$A$12,$B86,'V2_Scenarios'!$D$4:$D$12)</x:f>
        <x:v>0.15</x:v>
      </x:c>
      <x:c r="F86" s="16" t="n">
        <x:f>SUMIF('V2_Scenarios'!$A$4:$A$12,$B86,'V2_Scenarios'!$E$4:$E$12)</x:f>
        <x:v>0.45</x:v>
      </x:c>
      <x:c r="G86" s="16" t="n">
        <x:f>SUMIF('V2_Scenarios'!$A$4:$A$12,$B86,'V2_Scenarios'!$F$4:$F$12)</x:f>
        <x:v>0.2</x:v>
      </x:c>
      <x:c r="H86" s="16" t="n">
        <x:f>SUMIF('V2_Scenarios'!$A$4:$A$12,$B86,'V2_Scenarios'!$G$4:$G$12)</x:f>
        <x:v>0.6</x:v>
      </x:c>
      <x:c r="I86" s="16" t="n">
        <x:f>SUMIF('V2_Scenarios'!$A$4:$A$12,$B86,'V2_Scenarios'!$H$4:$H$12)</x:f>
        <x:v>0.35</x:v>
      </x:c>
      <x:c r="J86" s="16" t="n">
        <x:f>SUMIF('V2_Scenarios'!$A$4:$A$12,$B86,'V2_Scenarios'!$I$4:$I$12)</x:f>
        <x:v>0.35</x:v>
      </x:c>
      <x:c r="K86" s="16" t="n">
        <x:f>SUMIF('V2_Units'!$A$4:$A$13,$A86,'V2_Units'!$W$4:$W$13)</x:f>
        <x:v>350</x:v>
      </x:c>
      <x:c r="L86" s="16" t="n">
        <x:f>(SUMIF('V2_Units'!$A$4:$A$13,$A86,'V2_Units'!$K$4:$K$13)*(1-E86)+SUMIF('V2_Units'!$A$4:$A$13,$A86,'V2_Units'!$L$4:$L$13)*E86+SUMIF('V2_Units'!$A$4:$A$13,$A86,'V2_Units'!$O$4:$O$13)*D86)*(1-0.15*J86)</x:f>
        <x:v>15.0605125</x:v>
      </x:c>
      <x:c r="M86" s="16" t="n">
        <x:f>1-G86*SUMIF('V2_Units'!$A$4:$A$13,$A86,'V2_Units'!$Q$4:$Q$13)</x:f>
        <x:v>0.88</x:v>
      </x:c>
      <x:c r="N86" s="16" t="n">
        <x:f>1+(SUMIF('V2_Units'!$A$4:$A$13,$A86,'V2_Units'!$P$4:$P$13)-1)*F86*(1-H86)</x:f>
        <x:v>1.27</x:v>
      </x:c>
      <x:c r="O86" s="16" t="n">
        <x:f>1+SUMIF('V2_Units'!$A$4:$A$13,$A86,'V2_Units'!$R$4:$R$13)*SUMIF('V2_Units'!$A$4:$A$13,$A86,'V2_Units'!$S$4:$S$13)*(1-I86)</x:f>
        <x:v>1.09295</x:v>
      </x:c>
      <x:c r="P86" s="16" t="n">
        <x:f>IF(OR(AND($C86="Anti-Armor",D86&gt;=0.5),AND($C86="Premium Anti-Armor",D86&gt;=0.5),AND($C86="Ranged DPS",E86&gt;=0.5),AND($C86="Mobile General",J86&gt;=0.6),AND($C86="Siege / AOE",OR($B86="Tank Line",$B86="High-Ground Defense",$B86="Narrow Choke — Ranged")),AND($C86="Premium AOE",F86&gt;=0.7),AND($C86="Swarm",F86&gt;=0.7),AND($C86="Frontline",G86&gt;=0.7)),1.12,1.00)</x:f>
        <x:v>1</x:v>
      </x:c>
      <x:c r="Q86" s="54" t="n">
        <x:f>SUMIF('V2_Units'!$A$4:$A$13,$A86,'V2_Units'!$AD$4:$AD$13)*(L86/MAX(0.01,SUMIF('V2_Units'!$A$4:$A$13,$A86,'V2_Units'!$K$4:$K$13)))*M86*N86*O86*P86</x:f>
        <x:v>0.9985212051371144</x:v>
      </x:c>
      <x:c r="R86" s="54" t="n">
        <x:f>Q86-SUMIF('V2_Units'!$A$4:$A$13,$A86,'V2_Units'!$AD$4:$AD$13)</x:f>
        <x:v>-0.016493794862885602</x:v>
      </x:c>
      <x:c r="S86" s="51" t="str">
        <x:f>IF(Q86&gt;'V2_Parameters'!$B$15,"OVER",IF(Q86&lt;'V2_Parameters'!$B$14,"UNDER","OK"))&amp;" | "&amp;IF(P86&gt;1,"role-fit","base")</x:f>
        <x:v>OK | base</x:v>
      </x:c>
    </x:row>
    <x:row r="87">
      <x:c r="A87" t="str">
        <x:v>Colossus</x:v>
      </x:c>
      <x:c r="B87" t="str">
        <x:v>Narrow Choke — Melee</x:v>
      </x:c>
      <x:c r="C87" t="str">
        <x:f>VLOOKUP($A87,'V2_Units'!$A$4:$B$13,2,FALSE)</x:f>
        <x:v>Premium AOE</x:v>
      </x:c>
      <x:c r="D87" s="16" t="n">
        <x:f>SUMIF('V2_Scenarios'!$A$4:$A$12,$B87,'V2_Scenarios'!$C$4:$C$12)</x:f>
        <x:v>0.35</x:v>
      </x:c>
      <x:c r="E87" s="16" t="n">
        <x:f>SUMIF('V2_Scenarios'!$A$4:$A$12,$B87,'V2_Scenarios'!$D$4:$D$12)</x:f>
        <x:v>0.1</x:v>
      </x:c>
      <x:c r="F87" s="16" t="n">
        <x:f>SUMIF('V2_Scenarios'!$A$4:$A$12,$B87,'V2_Scenarios'!$E$4:$E$12)</x:f>
        <x:v>0.85</x:v>
      </x:c>
      <x:c r="G87" s="16" t="n">
        <x:f>SUMIF('V2_Scenarios'!$A$4:$A$12,$B87,'V2_Scenarios'!$F$4:$F$12)</x:f>
        <x:v>0.85</x:v>
      </x:c>
      <x:c r="H87" s="16" t="n">
        <x:f>SUMIF('V2_Scenarios'!$A$4:$A$12,$B87,'V2_Scenarios'!$G$4:$G$12)</x:f>
        <x:v>0.25</x:v>
      </x:c>
      <x:c r="I87" s="16" t="n">
        <x:f>SUMIF('V2_Scenarios'!$A$4:$A$12,$B87,'V2_Scenarios'!$H$4:$H$12)</x:f>
        <x:v>0.4</x:v>
      </x:c>
      <x:c r="J87" s="16" t="n">
        <x:f>SUMIF('V2_Scenarios'!$A$4:$A$12,$B87,'V2_Scenarios'!$I$4:$I$12)</x:f>
        <x:v>0.45</x:v>
      </x:c>
      <x:c r="K87" s="16" t="n">
        <x:f>SUMIF('V2_Units'!$A$4:$A$13,$A87,'V2_Units'!$W$4:$W$13)</x:f>
        <x:v>350</x:v>
      </x:c>
      <x:c r="L87" s="16" t="n">
        <x:f>(SUMIF('V2_Units'!$A$4:$A$13,$A87,'V2_Units'!$K$4:$K$13)*(1-E87)+SUMIF('V2_Units'!$A$4:$A$13,$A87,'V2_Units'!$L$4:$L$13)*E87+SUMIF('V2_Units'!$A$4:$A$13,$A87,'V2_Units'!$O$4:$O$13)*D87)*(1-0.15*J87)</x:f>
        <x:v>15.693974999999998</x:v>
      </x:c>
      <x:c r="M87" s="16" t="n">
        <x:f>1-G87*SUMIF('V2_Units'!$A$4:$A$13,$A87,'V2_Units'!$Q$4:$Q$13)</x:f>
        <x:v>0.49</x:v>
      </x:c>
      <x:c r="N87" s="16" t="n">
        <x:f>1+(SUMIF('V2_Units'!$A$4:$A$13,$A87,'V2_Units'!$P$4:$P$13)-1)*F87*(1-H87)</x:f>
        <x:v>1.9562499999999998</x:v>
      </x:c>
      <x:c r="O87" s="16" t="n">
        <x:f>1+SUMIF('V2_Units'!$A$4:$A$13,$A87,'V2_Units'!$R$4:$R$13)*SUMIF('V2_Units'!$A$4:$A$13,$A87,'V2_Units'!$S$4:$S$13)*(1-I87)</x:f>
        <x:v>1.0858</x:v>
      </x:c>
      <x:c r="P87" s="16" t="n">
        <x:f>IF(OR(AND($C87="Anti-Armor",D87&gt;=0.5),AND($C87="Premium Anti-Armor",D87&gt;=0.5),AND($C87="Ranged DPS",E87&gt;=0.5),AND($C87="Mobile General",J87&gt;=0.6),AND($C87="Siege / AOE",OR($B87="Tank Line",$B87="High-Ground Defense",$B87="Narrow Choke — Ranged")),AND($C87="Premium AOE",F87&gt;=0.7),AND($C87="Swarm",F87&gt;=0.7),AND($C87="Frontline",G87&gt;=0.7)),1.12,1.00)</x:f>
        <x:v>1.12</x:v>
      </x:c>
      <x:c r="Q87" s="54" t="n">
        <x:f>SUMIF('V2_Units'!$A$4:$A$13,$A87,'V2_Units'!$AD$4:$AD$13)*(L87/MAX(0.01,SUMIF('V2_Units'!$A$4:$A$13,$A87,'V2_Units'!$K$4:$K$13)))*M87*N87*O87*P87</x:f>
        <x:v>0.9930065317269595</x:v>
      </x:c>
      <x:c r="R87" s="54" t="n">
        <x:f>Q87-SUMIF('V2_Units'!$A$4:$A$13,$A87,'V2_Units'!$AD$4:$AD$13)</x:f>
        <x:v>-0.022008468273040482</x:v>
      </x:c>
      <x:c r="S87" s="51" t="str">
        <x:f>IF(Q87&gt;'V2_Parameters'!$B$15,"OVER",IF(Q87&lt;'V2_Parameters'!$B$14,"UNDER","OK"))&amp;" | "&amp;IF(P87&gt;1,"role-fit","base")</x:f>
        <x:v>OK | role-fit</x:v>
      </x:c>
    </x:row>
    <x:row r="88">
      <x:c r="A88" t="str">
        <x:v>Colossus</x:v>
      </x:c>
      <x:c r="B88" t="str">
        <x:v>Narrow Choke — Ranged</x:v>
      </x:c>
      <x:c r="C88" t="str">
        <x:f>VLOOKUP($A88,'V2_Units'!$A$4:$B$13,2,FALSE)</x:f>
        <x:v>Premium AOE</x:v>
      </x:c>
      <x:c r="D88" s="16" t="n">
        <x:f>SUMIF('V2_Scenarios'!$A$4:$A$12,$B88,'V2_Scenarios'!$C$4:$C$12)</x:f>
        <x:v>0.5</x:v>
      </x:c>
      <x:c r="E88" s="16" t="n">
        <x:f>SUMIF('V2_Scenarios'!$A$4:$A$12,$B88,'V2_Scenarios'!$D$4:$D$12)</x:f>
        <x:v>0.2</x:v>
      </x:c>
      <x:c r="F88" s="16" t="n">
        <x:f>SUMIF('V2_Scenarios'!$A$4:$A$12,$B88,'V2_Scenarios'!$E$4:$E$12)</x:f>
        <x:v>0.75</x:v>
      </x:c>
      <x:c r="G88" s="16" t="n">
        <x:f>SUMIF('V2_Scenarios'!$A$4:$A$12,$B88,'V2_Scenarios'!$F$4:$F$12)</x:f>
        <x:v>0.8</x:v>
      </x:c>
      <x:c r="H88" s="16" t="n">
        <x:f>SUMIF('V2_Scenarios'!$A$4:$A$12,$B88,'V2_Scenarios'!$G$4:$G$12)</x:f>
        <x:v>0.3</x:v>
      </x:c>
      <x:c r="I88" s="16" t="n">
        <x:f>SUMIF('V2_Scenarios'!$A$4:$A$12,$B88,'V2_Scenarios'!$H$4:$H$12)</x:f>
        <x:v>0.35</x:v>
      </x:c>
      <x:c r="J88" s="16" t="n">
        <x:f>SUMIF('V2_Scenarios'!$A$4:$A$12,$B88,'V2_Scenarios'!$I$4:$I$12)</x:f>
        <x:v>0.35</x:v>
      </x:c>
      <x:c r="K88" s="16" t="n">
        <x:f>SUMIF('V2_Units'!$A$4:$A$13,$A88,'V2_Units'!$W$4:$W$13)</x:f>
        <x:v>350</x:v>
      </x:c>
      <x:c r="L88" s="16" t="n">
        <x:f>(SUMIF('V2_Units'!$A$4:$A$13,$A88,'V2_Units'!$K$4:$K$13)*(1-E88)+SUMIF('V2_Units'!$A$4:$A$13,$A88,'V2_Units'!$L$4:$L$13)*E88+SUMIF('V2_Units'!$A$4:$A$13,$A88,'V2_Units'!$O$4:$O$13)*D88)*(1-0.15*J88)</x:f>
        <x:v>14.174600000000002</x:v>
      </x:c>
      <x:c r="M88" s="16" t="n">
        <x:f>1-G88*SUMIF('V2_Units'!$A$4:$A$13,$A88,'V2_Units'!$Q$4:$Q$13)</x:f>
        <x:v>0.52</x:v>
      </x:c>
      <x:c r="N88" s="16" t="n">
        <x:f>1+(SUMIF('V2_Units'!$A$4:$A$13,$A88,'V2_Units'!$P$4:$P$13)-1)*F88*(1-H88)</x:f>
        <x:v>1.7875</x:v>
      </x:c>
      <x:c r="O88" s="16" t="n">
        <x:f>1+SUMIF('V2_Units'!$A$4:$A$13,$A88,'V2_Units'!$R$4:$R$13)*SUMIF('V2_Units'!$A$4:$A$13,$A88,'V2_Units'!$S$4:$S$13)*(1-I88)</x:f>
        <x:v>1.09295</x:v>
      </x:c>
      <x:c r="P88" s="16" t="n">
        <x:f>IF(OR(AND($C88="Anti-Armor",D88&gt;=0.5),AND($C88="Premium Anti-Armor",D88&gt;=0.5),AND($C88="Ranged DPS",E88&gt;=0.5),AND($C88="Mobile General",J88&gt;=0.6),AND($C88="Siege / AOE",OR($B88="Tank Line",$B88="High-Ground Defense",$B88="Narrow Choke — Ranged")),AND($C88="Premium AOE",F88&gt;=0.7),AND($C88="Swarm",F88&gt;=0.7),AND($C88="Frontline",G88&gt;=0.7)),1.12,1.00)</x:f>
        <x:v>1.12</x:v>
      </x:c>
      <x:c r="Q88" s="54" t="n">
        <x:f>SUMIF('V2_Units'!$A$4:$A$13,$A88,'V2_Units'!$AD$4:$AD$13)*(L88/MAX(0.01,SUMIF('V2_Units'!$A$4:$A$13,$A88,'V2_Units'!$K$4:$K$13)))*M88*N88*O88*P88</x:f>
        <x:v>0.8754057142582355</x:v>
      </x:c>
      <x:c r="R88" s="54" t="n">
        <x:f>Q88-SUMIF('V2_Units'!$A$4:$A$13,$A88,'V2_Units'!$AD$4:$AD$13)</x:f>
        <x:v>-0.13960928574176446</x:v>
      </x:c>
      <x:c r="S88" s="51" t="str">
        <x:f>IF(Q88&gt;'V2_Parameters'!$B$15,"OVER",IF(Q88&lt;'V2_Parameters'!$B$14,"UNDER","OK"))&amp;" | "&amp;IF(P88&gt;1,"role-fit","base")</x:f>
        <x:v>UNDER | role-fit</x:v>
      </x:c>
    </x:row>
    <x:row r="89">
      <x:c r="A89" t="str">
        <x:v>Colossus</x:v>
      </x:c>
      <x:c r="B89" t="str">
        <x:v>Tank Line</x:v>
      </x:c>
      <x:c r="C89" t="str">
        <x:f>VLOOKUP($A89,'V2_Units'!$A$4:$B$13,2,FALSE)</x:f>
        <x:v>Premium AOE</x:v>
      </x:c>
      <x:c r="D89" s="16" t="n">
        <x:f>SUMIF('V2_Scenarios'!$A$4:$A$12,$B89,'V2_Scenarios'!$C$4:$C$12)</x:f>
        <x:v>0.65</x:v>
      </x:c>
      <x:c r="E89" s="16" t="n">
        <x:f>SUMIF('V2_Scenarios'!$A$4:$A$12,$B89,'V2_Scenarios'!$D$4:$D$12)</x:f>
        <x:v>0.15</x:v>
      </x:c>
      <x:c r="F89" s="16" t="n">
        <x:f>SUMIF('V2_Scenarios'!$A$4:$A$12,$B89,'V2_Scenarios'!$E$4:$E$12)</x:f>
        <x:v>0.9</x:v>
      </x:c>
      <x:c r="G89" s="16" t="n">
        <x:f>SUMIF('V2_Scenarios'!$A$4:$A$12,$B89,'V2_Scenarios'!$F$4:$F$12)</x:f>
        <x:v>0.75</x:v>
      </x:c>
      <x:c r="H89" s="16" t="n">
        <x:f>SUMIF('V2_Scenarios'!$A$4:$A$12,$B89,'V2_Scenarios'!$G$4:$G$12)</x:f>
        <x:v>0.35</x:v>
      </x:c>
      <x:c r="I89" s="16" t="n">
        <x:f>SUMIF('V2_Scenarios'!$A$4:$A$12,$B89,'V2_Scenarios'!$H$4:$H$12)</x:f>
        <x:v>0.3</x:v>
      </x:c>
      <x:c r="J89" s="16" t="n">
        <x:f>SUMIF('V2_Scenarios'!$A$4:$A$12,$B89,'V2_Scenarios'!$I$4:$I$12)</x:f>
        <x:v>0.6</x:v>
      </x:c>
      <x:c r="K89" s="16" t="n">
        <x:f>SUMIF('V2_Units'!$A$4:$A$13,$A89,'V2_Units'!$W$4:$W$13)</x:f>
        <x:v>350</x:v>
      </x:c>
      <x:c r="L89" s="16" t="n">
        <x:f>(SUMIF('V2_Units'!$A$4:$A$13,$A89,'V2_Units'!$K$4:$K$13)*(1-E89)+SUMIF('V2_Units'!$A$4:$A$13,$A89,'V2_Units'!$L$4:$L$13)*E89+SUMIF('V2_Units'!$A$4:$A$13,$A89,'V2_Units'!$O$4:$O$13)*D89)*(1-0.15*J89)</x:f>
        <x:v>14.46445</x:v>
      </x:c>
      <x:c r="M89" s="16" t="n">
        <x:f>1-G89*SUMIF('V2_Units'!$A$4:$A$13,$A89,'V2_Units'!$Q$4:$Q$13)</x:f>
        <x:v>0.55</x:v>
      </x:c>
      <x:c r="N89" s="16" t="n">
        <x:f>1+(SUMIF('V2_Units'!$A$4:$A$13,$A89,'V2_Units'!$P$4:$P$13)-1)*F89*(1-H89)</x:f>
        <x:v>1.8775</x:v>
      </x:c>
      <x:c r="O89" s="16" t="n">
        <x:f>1+SUMIF('V2_Units'!$A$4:$A$13,$A89,'V2_Units'!$R$4:$R$13)*SUMIF('V2_Units'!$A$4:$A$13,$A89,'V2_Units'!$S$4:$S$13)*(1-I89)</x:f>
        <x:v>1.1001</x:v>
      </x:c>
      <x:c r="P89" s="16" t="n">
        <x:f>IF(OR(AND($C89="Anti-Armor",D89&gt;=0.5),AND($C89="Premium Anti-Armor",D89&gt;=0.5),AND($C89="Ranged DPS",E89&gt;=0.5),AND($C89="Mobile General",J89&gt;=0.6),AND($C89="Siege / AOE",OR($B89="Tank Line",$B89="High-Ground Defense",$B89="Narrow Choke — Ranged")),AND($C89="Premium AOE",F89&gt;=0.7),AND($C89="Swarm",F89&gt;=0.7),AND($C89="Frontline",G89&gt;=0.7)),1.12,1.00)</x:f>
        <x:v>1.12</x:v>
      </x:c>
      <x:c r="Q89" s="54" t="n">
        <x:f>SUMIF('V2_Units'!$A$4:$A$13,$A89,'V2_Units'!$AD$4:$AD$13)*(L89/MAX(0.01,SUMIF('V2_Units'!$A$4:$A$13,$A89,'V2_Units'!$K$4:$K$13)))*M89*N89*O89*P89</x:f>
        <x:v>0.9989082521022957</x:v>
      </x:c>
      <x:c r="R89" s="54" t="n">
        <x:f>Q89-SUMIF('V2_Units'!$A$4:$A$13,$A89,'V2_Units'!$AD$4:$AD$13)</x:f>
        <x:v>-0.016106747897704277</x:v>
      </x:c>
      <x:c r="S89" s="51" t="str">
        <x:f>IF(Q89&gt;'V2_Parameters'!$B$15,"OVER",IF(Q89&lt;'V2_Parameters'!$B$14,"UNDER","OK"))&amp;" | "&amp;IF(P89&gt;1,"role-fit","base")</x:f>
        <x:v>OK | role-fit</x:v>
      </x:c>
    </x:row>
    <x:row r="90">
      <x:c r="A90" t="str">
        <x:v>Colossus</x:v>
      </x:c>
      <x:c r="B90" t="str">
        <x:v>Massive Swarm</x:v>
      </x:c>
      <x:c r="C90" t="str">
        <x:f>VLOOKUP($A90,'V2_Units'!$A$4:$B$13,2,FALSE)</x:f>
        <x:v>Premium AOE</x:v>
      </x:c>
      <x:c r="D90" s="16" t="n">
        <x:f>SUMIF('V2_Scenarios'!$A$4:$A$12,$B90,'V2_Scenarios'!$C$4:$C$12)</x:f>
        <x:v>0.2</x:v>
      </x:c>
      <x:c r="E90" s="16" t="n">
        <x:f>SUMIF('V2_Scenarios'!$A$4:$A$12,$B90,'V2_Scenarios'!$D$4:$D$12)</x:f>
        <x:v>0.1</x:v>
      </x:c>
      <x:c r="F90" s="16" t="n">
        <x:f>SUMIF('V2_Scenarios'!$A$4:$A$12,$B90,'V2_Scenarios'!$E$4:$E$12)</x:f>
        <x:v>0.95</x:v>
      </x:c>
      <x:c r="G90" s="16" t="n">
        <x:f>SUMIF('V2_Scenarios'!$A$4:$A$12,$B90,'V2_Scenarios'!$F$4:$F$12)</x:f>
        <x:v>0.35</x:v>
      </x:c>
      <x:c r="H90" s="16" t="n">
        <x:f>SUMIF('V2_Scenarios'!$A$4:$A$12,$B90,'V2_Scenarios'!$G$4:$G$12)</x:f>
        <x:v>0.2</x:v>
      </x:c>
      <x:c r="I90" s="16" t="n">
        <x:f>SUMIF('V2_Scenarios'!$A$4:$A$12,$B90,'V2_Scenarios'!$H$4:$H$12)</x:f>
        <x:v>0.3</x:v>
      </x:c>
      <x:c r="J90" s="16" t="n">
        <x:f>SUMIF('V2_Scenarios'!$A$4:$A$12,$B90,'V2_Scenarios'!$I$4:$I$12)</x:f>
        <x:v>0.4</x:v>
      </x:c>
      <x:c r="K90" s="16" t="n">
        <x:f>SUMIF('V2_Units'!$A$4:$A$13,$A90,'V2_Units'!$W$4:$W$13)</x:f>
        <x:v>350</x:v>
      </x:c>
      <x:c r="L90" s="16" t="n">
        <x:f>(SUMIF('V2_Units'!$A$4:$A$13,$A90,'V2_Units'!$K$4:$K$13)*(1-E90)+SUMIF('V2_Units'!$A$4:$A$13,$A90,'V2_Units'!$L$4:$L$13)*E90+SUMIF('V2_Units'!$A$4:$A$13,$A90,'V2_Units'!$O$4:$O$13)*D90)*(1-0.15*J90)</x:f>
        <x:v>15.820199999999998</x:v>
      </x:c>
      <x:c r="M90" s="16" t="n">
        <x:f>1-G90*SUMIF('V2_Units'!$A$4:$A$13,$A90,'V2_Units'!$Q$4:$Q$13)</x:f>
        <x:v>0.79</x:v>
      </x:c>
      <x:c r="N90" s="16" t="n">
        <x:f>1+(SUMIF('V2_Units'!$A$4:$A$13,$A90,'V2_Units'!$P$4:$P$13)-1)*F90*(1-H90)</x:f>
        <x:v>2.1399999999999997</x:v>
      </x:c>
      <x:c r="O90" s="16" t="n">
        <x:f>1+SUMIF('V2_Units'!$A$4:$A$13,$A90,'V2_Units'!$R$4:$R$13)*SUMIF('V2_Units'!$A$4:$A$13,$A90,'V2_Units'!$S$4:$S$13)*(1-I90)</x:f>
        <x:v>1.1001</x:v>
      </x:c>
      <x:c r="P90" s="16" t="n">
        <x:f>IF(OR(AND($C90="Anti-Armor",D90&gt;=0.5),AND($C90="Premium Anti-Armor",D90&gt;=0.5),AND($C90="Ranged DPS",E90&gt;=0.5),AND($C90="Mobile General",J90&gt;=0.6),AND($C90="Siege / AOE",OR($B90="Tank Line",$B90="High-Ground Defense",$B90="Narrow Choke — Ranged")),AND($C90="Premium AOE",F90&gt;=0.7),AND($C90="Swarm",F90&gt;=0.7),AND($C90="Frontline",G90&gt;=0.7)),1.12,1.00)</x:f>
        <x:v>1.12</x:v>
      </x:c>
      <x:c r="Q90" s="54" t="n">
        <x:f>SUMIF('V2_Units'!$A$4:$A$13,$A90,'V2_Units'!$AD$4:$AD$13)*(L90/MAX(0.01,SUMIF('V2_Units'!$A$4:$A$13,$A90,'V2_Units'!$K$4:$K$13)))*M90*N90*O90*P90</x:f>
        <x:v>1.7886850427736318</x:v>
      </x:c>
      <x:c r="R90" s="54" t="n">
        <x:f>Q90-SUMIF('V2_Units'!$A$4:$A$13,$A90,'V2_Units'!$AD$4:$AD$13)</x:f>
        <x:v>0.7736700427736318</x:v>
      </x:c>
      <x:c r="S90" s="51" t="str">
        <x:f>IF(Q90&gt;'V2_Parameters'!$B$15,"OVER",IF(Q90&lt;'V2_Parameters'!$B$14,"UNDER","OK"))&amp;" | "&amp;IF(P90&gt;1,"role-fit","base")</x:f>
        <x:v>OVER | role-fit</x:v>
      </x:c>
    </x:row>
    <x:row r="91">
      <x:c r="A91" t="str">
        <x:v>Colossus</x:v>
      </x:c>
      <x:c r="B91" t="str">
        <x:v>High-Ground Defense</x:v>
      </x:c>
      <x:c r="C91" t="str">
        <x:f>VLOOKUP($A91,'V2_Units'!$A$4:$B$13,2,FALSE)</x:f>
        <x:v>Premium AOE</x:v>
      </x:c>
      <x:c r="D91" s="16" t="n">
        <x:f>SUMIF('V2_Scenarios'!$A$4:$A$12,$B91,'V2_Scenarios'!$C$4:$C$12)</x:f>
        <x:v>0.55</x:v>
      </x:c>
      <x:c r="E91" s="16" t="n">
        <x:f>SUMIF('V2_Scenarios'!$A$4:$A$12,$B91,'V2_Scenarios'!$D$4:$D$12)</x:f>
        <x:v>0.15</x:v>
      </x:c>
      <x:c r="F91" s="16" t="n">
        <x:f>SUMIF('V2_Scenarios'!$A$4:$A$12,$B91,'V2_Scenarios'!$E$4:$E$12)</x:f>
        <x:v>0.7</x:v>
      </x:c>
      <x:c r="G91" s="16" t="n">
        <x:f>SUMIF('V2_Scenarios'!$A$4:$A$12,$B91,'V2_Scenarios'!$F$4:$F$12)</x:f>
        <x:v>0.55</x:v>
      </x:c>
      <x:c r="H91" s="16" t="n">
        <x:f>SUMIF('V2_Scenarios'!$A$4:$A$12,$B91,'V2_Scenarios'!$G$4:$G$12)</x:f>
        <x:v>0.5</x:v>
      </x:c>
      <x:c r="I91" s="16" t="n">
        <x:f>SUMIF('V2_Scenarios'!$A$4:$A$12,$B91,'V2_Scenarios'!$H$4:$H$12)</x:f>
        <x:v>0.3</x:v>
      </x:c>
      <x:c r="J91" s="16" t="n">
        <x:f>SUMIF('V2_Scenarios'!$A$4:$A$12,$B91,'V2_Scenarios'!$I$4:$I$12)</x:f>
        <x:v>0.55</x:v>
      </x:c>
      <x:c r="K91" s="16" t="n">
        <x:f>SUMIF('V2_Units'!$A$4:$A$13,$A91,'V2_Units'!$W$4:$W$13)</x:f>
        <x:v>350</x:v>
      </x:c>
      <x:c r="L91" s="16" t="n">
        <x:f>(SUMIF('V2_Units'!$A$4:$A$13,$A91,'V2_Units'!$K$4:$K$13)*(1-E91)+SUMIF('V2_Units'!$A$4:$A$13,$A91,'V2_Units'!$L$4:$L$13)*E91+SUMIF('V2_Units'!$A$4:$A$13,$A91,'V2_Units'!$O$4:$O$13)*D91)*(1-0.15*J91)</x:f>
        <x:v>14.583662499999999</x:v>
      </x:c>
      <x:c r="M91" s="16" t="n">
        <x:f>1-G91*SUMIF('V2_Units'!$A$4:$A$13,$A91,'V2_Units'!$Q$4:$Q$13)</x:f>
        <x:v>0.6699999999999999</x:v>
      </x:c>
      <x:c r="N91" s="16" t="n">
        <x:f>1+(SUMIF('V2_Units'!$A$4:$A$13,$A91,'V2_Units'!$P$4:$P$13)-1)*F91*(1-H91)</x:f>
        <x:v>1.525</x:v>
      </x:c>
      <x:c r="O91" s="16" t="n">
        <x:f>1+SUMIF('V2_Units'!$A$4:$A$13,$A91,'V2_Units'!$R$4:$R$13)*SUMIF('V2_Units'!$A$4:$A$13,$A91,'V2_Units'!$S$4:$S$13)*(1-I91)</x:f>
        <x:v>1.1001</x:v>
      </x:c>
      <x:c r="P91" s="16" t="n">
        <x:f>IF(OR(AND($C91="Anti-Armor",D91&gt;=0.5),AND($C91="Premium Anti-Armor",D91&gt;=0.5),AND($C91="Ranged DPS",E91&gt;=0.5),AND($C91="Mobile General",J91&gt;=0.6),AND($C91="Siege / AOE",OR($B91="Tank Line",$B91="High-Ground Defense",$B91="Narrow Choke — Ranged")),AND($C91="Premium AOE",F91&gt;=0.7),AND($C91="Swarm",F91&gt;=0.7),AND($C91="Frontline",G91&gt;=0.7)),1.12,1.00)</x:f>
        <x:v>1.12</x:v>
      </x:c>
      <x:c r="Q91" s="54" t="n">
        <x:f>SUMIF('V2_Units'!$A$4:$A$13,$A91,'V2_Units'!$AD$4:$AD$13)*(L91/MAX(0.01,SUMIF('V2_Units'!$A$4:$A$13,$A91,'V2_Units'!$K$4:$K$13)))*M91*N91*O91*P91</x:f>
        <x:v>0.9965343948112767</x:v>
      </x:c>
      <x:c r="R91" s="54" t="n">
        <x:f>Q91-SUMIF('V2_Units'!$A$4:$A$13,$A91,'V2_Units'!$AD$4:$AD$13)</x:f>
        <x:v>-0.018480605188723298</x:v>
      </x:c>
      <x:c r="S91" s="51" t="str">
        <x:f>IF(Q91&gt;'V2_Parameters'!$B$15,"OVER",IF(Q91&lt;'V2_Parameters'!$B$14,"UNDER","OK"))&amp;" | "&amp;IF(P91&gt;1,"role-fit","base")</x:f>
        <x:v>OK | role-fit</x:v>
      </x:c>
    </x:row>
    <x:row r="92">
      <x:c r="A92" t="str">
        <x:v>Colossus</x:v>
      </x:c>
      <x:c r="B92" t="str">
        <x:v>Anti-Air Screen</x:v>
      </x:c>
      <x:c r="C92" t="str">
        <x:f>VLOOKUP($A92,'V2_Units'!$A$4:$B$13,2,FALSE)</x:f>
        <x:v>Premium AOE</x:v>
      </x:c>
      <x:c r="D92" s="16" t="n">
        <x:f>SUMIF('V2_Scenarios'!$A$4:$A$12,$B92,'V2_Scenarios'!$C$4:$C$12)</x:f>
        <x:v>0.2</x:v>
      </x:c>
      <x:c r="E92" s="16" t="n">
        <x:f>SUMIF('V2_Scenarios'!$A$4:$A$12,$B92,'V2_Scenarios'!$D$4:$D$12)</x:f>
        <x:v>0.8</x:v>
      </x:c>
      <x:c r="F92" s="16" t="n">
        <x:f>SUMIF('V2_Scenarios'!$A$4:$A$12,$B92,'V2_Scenarios'!$E$4:$E$12)</x:f>
        <x:v>0.6</x:v>
      </x:c>
      <x:c r="G92" s="16" t="n">
        <x:f>SUMIF('V2_Scenarios'!$A$4:$A$12,$B92,'V2_Scenarios'!$F$4:$F$12)</x:f>
        <x:v>0.45</x:v>
      </x:c>
      <x:c r="H92" s="16" t="n">
        <x:f>SUMIF('V2_Scenarios'!$A$4:$A$12,$B92,'V2_Scenarios'!$G$4:$G$12)</x:f>
        <x:v>0.55</x:v>
      </x:c>
      <x:c r="I92" s="16" t="n">
        <x:f>SUMIF('V2_Scenarios'!$A$4:$A$12,$B92,'V2_Scenarios'!$H$4:$H$12)</x:f>
        <x:v>0.25</x:v>
      </x:c>
      <x:c r="J92" s="16" t="n">
        <x:f>SUMIF('V2_Scenarios'!$A$4:$A$12,$B92,'V2_Scenarios'!$I$4:$I$12)</x:f>
        <x:v>0.45</x:v>
      </x:c>
      <x:c r="K92" s="16" t="n">
        <x:f>SUMIF('V2_Units'!$A$4:$A$13,$A92,'V2_Units'!$W$4:$W$13)</x:f>
        <x:v>350</x:v>
      </x:c>
      <x:c r="L92" s="16" t="n">
        <x:f>(SUMIF('V2_Units'!$A$4:$A$13,$A92,'V2_Units'!$K$4:$K$13)*(1-E92)+SUMIF('V2_Units'!$A$4:$A$13,$A92,'V2_Units'!$L$4:$L$13)*E92+SUMIF('V2_Units'!$A$4:$A$13,$A92,'V2_Units'!$O$4:$O$13)*D92)*(1-0.15*J92)</x:f>
        <x:v>3.487549999999999</x:v>
      </x:c>
      <x:c r="M92" s="16" t="n">
        <x:f>1-G92*SUMIF('V2_Units'!$A$4:$A$13,$A92,'V2_Units'!$Q$4:$Q$13)</x:f>
        <x:v>0.73</x:v>
      </x:c>
      <x:c r="N92" s="16" t="n">
        <x:f>1+(SUMIF('V2_Units'!$A$4:$A$13,$A92,'V2_Units'!$P$4:$P$13)-1)*F92*(1-H92)</x:f>
        <x:v>1.4049999999999998</x:v>
      </x:c>
      <x:c r="O92" s="16" t="n">
        <x:f>1+SUMIF('V2_Units'!$A$4:$A$13,$A92,'V2_Units'!$R$4:$R$13)*SUMIF('V2_Units'!$A$4:$A$13,$A92,'V2_Units'!$S$4:$S$13)*(1-I92)</x:f>
        <x:v>1.10725</x:v>
      </x:c>
      <x:c r="P92" s="16" t="n">
        <x:f>IF(OR(AND($C92="Anti-Armor",D92&gt;=0.5),AND($C92="Premium Anti-Armor",D92&gt;=0.5),AND($C92="Ranged DPS",E92&gt;=0.5),AND($C92="Mobile General",J92&gt;=0.6),AND($C92="Siege / AOE",OR($B92="Tank Line",$B92="High-Ground Defense",$B92="Narrow Choke — Ranged")),AND($C92="Premium AOE",F92&gt;=0.7),AND($C92="Swarm",F92&gt;=0.7),AND($C92="Frontline",G92&gt;=0.7)),1.12,1.00)</x:f>
        <x:v>1</x:v>
      </x:c>
      <x:c r="Q92" s="54" t="n">
        <x:f>SUMIF('V2_Units'!$A$4:$A$13,$A92,'V2_Units'!$AD$4:$AD$13)*(L92/MAX(0.01,SUMIF('V2_Units'!$A$4:$A$13,$A92,'V2_Units'!$K$4:$K$13)))*M92*N92*O92*P92</x:f>
        <x:v>0.21497906505741127</x:v>
      </x:c>
      <x:c r="R92" s="54" t="n">
        <x:f>Q92-SUMIF('V2_Units'!$A$4:$A$13,$A92,'V2_Units'!$AD$4:$AD$13)</x:f>
        <x:v>-0.8000359349425887</x:v>
      </x:c>
      <x:c r="S92" s="51" t="str">
        <x:f>IF(Q92&gt;'V2_Parameters'!$B$15,"OVER",IF(Q92&lt;'V2_Parameters'!$B$14,"UNDER","OK"))&amp;" | "&amp;IF(P92&gt;1,"role-fit","base")</x:f>
        <x:v>UNDER | base</x:v>
      </x:c>
    </x:row>
    <x:row r="93">
      <x:c r="A93" t="str">
        <x:v>Colossus</x:v>
      </x:c>
      <x:c r="B93" t="str">
        <x:v>Kite Scenario</x:v>
      </x:c>
      <x:c r="C93" t="str">
        <x:f>VLOOKUP($A93,'V2_Units'!$A$4:$B$13,2,FALSE)</x:f>
        <x:v>Premium AOE</x:v>
      </x:c>
      <x:c r="D93" s="16" t="n">
        <x:f>SUMIF('V2_Scenarios'!$A$4:$A$12,$B93,'V2_Scenarios'!$C$4:$C$12)</x:f>
        <x:v>0.25</x:v>
      </x:c>
      <x:c r="E93" s="16" t="n">
        <x:f>SUMIF('V2_Scenarios'!$A$4:$A$12,$B93,'V2_Scenarios'!$D$4:$D$12)</x:f>
        <x:v>0.2</x:v>
      </x:c>
      <x:c r="F93" s="16" t="n">
        <x:f>SUMIF('V2_Scenarios'!$A$4:$A$12,$B93,'V2_Scenarios'!$E$4:$E$12)</x:f>
        <x:v>0.55</x:v>
      </x:c>
      <x:c r="G93" s="16" t="n">
        <x:f>SUMIF('V2_Scenarios'!$A$4:$A$12,$B93,'V2_Scenarios'!$F$4:$F$12)</x:f>
        <x:v>0.3</x:v>
      </x:c>
      <x:c r="H93" s="16" t="n">
        <x:f>SUMIF('V2_Scenarios'!$A$4:$A$12,$B93,'V2_Scenarios'!$G$4:$G$12)</x:f>
        <x:v>0.65</x:v>
      </x:c>
      <x:c r="I93" s="16" t="n">
        <x:f>SUMIF('V2_Scenarios'!$A$4:$A$12,$B93,'V2_Scenarios'!$H$4:$H$12)</x:f>
        <x:v>0.45</x:v>
      </x:c>
      <x:c r="J93" s="16" t="n">
        <x:f>SUMIF('V2_Scenarios'!$A$4:$A$12,$B93,'V2_Scenarios'!$I$4:$I$12)</x:f>
        <x:v>0.8</x:v>
      </x:c>
      <x:c r="K93" s="16" t="n">
        <x:f>SUMIF('V2_Units'!$A$4:$A$13,$A93,'V2_Units'!$W$4:$W$13)</x:f>
        <x:v>350</x:v>
      </x:c>
      <x:c r="L93" s="16" t="n">
        <x:f>(SUMIF('V2_Units'!$A$4:$A$13,$A93,'V2_Units'!$K$4:$K$13)*(1-E93)+SUMIF('V2_Units'!$A$4:$A$13,$A93,'V2_Units'!$L$4:$L$13)*E93+SUMIF('V2_Units'!$A$4:$A$13,$A93,'V2_Units'!$O$4:$O$13)*D93)*(1-0.15*J93)</x:f>
        <x:v>13.164800000000001</x:v>
      </x:c>
      <x:c r="M93" s="16" t="n">
        <x:f>1-G93*SUMIF('V2_Units'!$A$4:$A$13,$A93,'V2_Units'!$Q$4:$Q$13)</x:f>
        <x:v>0.8200000000000001</x:v>
      </x:c>
      <x:c r="N93" s="16" t="n">
        <x:f>1+(SUMIF('V2_Units'!$A$4:$A$13,$A93,'V2_Units'!$P$4:$P$13)-1)*F93*(1-H93)</x:f>
        <x:v>1.28875</x:v>
      </x:c>
      <x:c r="O93" s="16" t="n">
        <x:f>1+SUMIF('V2_Units'!$A$4:$A$13,$A93,'V2_Units'!$R$4:$R$13)*SUMIF('V2_Units'!$A$4:$A$13,$A93,'V2_Units'!$S$4:$S$13)*(1-I93)</x:f>
        <x:v>1.07865</x:v>
      </x:c>
      <x:c r="P93" s="16" t="n">
        <x:f>IF(OR(AND($C93="Anti-Armor",D93&gt;=0.5),AND($C93="Premium Anti-Armor",D93&gt;=0.5),AND($C93="Ranged DPS",E93&gt;=0.5),AND($C93="Mobile General",J93&gt;=0.6),AND($C93="Siege / AOE",OR($B93="Tank Line",$B93="High-Ground Defense",$B93="Narrow Choke — Ranged")),AND($C93="Premium AOE",F93&gt;=0.7),AND($C93="Swarm",F93&gt;=0.7),AND($C93="Frontline",G93&gt;=0.7)),1.12,1.00)</x:f>
        <x:v>1</x:v>
      </x:c>
      <x:c r="Q93" s="54" t="n">
        <x:f>SUMIF('V2_Units'!$A$4:$A$13,$A93,'V2_Units'!$AD$4:$AD$13)*(L93/MAX(0.01,SUMIF('V2_Units'!$A$4:$A$13,$A93,'V2_Units'!$K$4:$K$13)))*M93*N93*O93*P93</x:f>
        <x:v>0.8145320884177358</x:v>
      </x:c>
      <x:c r="R93" s="54" t="n">
        <x:f>Q93-SUMIF('V2_Units'!$A$4:$A$13,$A93,'V2_Units'!$AD$4:$AD$13)</x:f>
        <x:v>-0.20048291158226417</x:v>
      </x:c>
      <x:c r="S93" s="51" t="str">
        <x:f>IF(Q93&gt;'V2_Parameters'!$B$15,"OVER",IF(Q93&lt;'V2_Parameters'!$B$14,"UNDER","OK"))&amp;" | "&amp;IF(P93&gt;1,"role-fit","base")</x:f>
        <x:v>UNDER | base</x:v>
      </x:c>
    </x:row>
  </x:sheetData>
  <x:conditionalFormatting sqref="Q4:Q9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359dc45883446d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43" t="str">
        <x:v>V2 Marginal Value — diminishing returns by army size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8" t="str">
        <x:v>Unit</x:v>
      </x:c>
      <x:c r="B3" s="48" t="str">
        <x:v>Qty</x:v>
      </x:c>
      <x:c r="C3" s="48" t="str">
        <x:v>Raw Value</x:v>
      </x:c>
      <x:c r="D3" s="48" t="str">
        <x:v>Formation Saturation</x:v>
      </x:c>
      <x:c r="E3" s="48" t="str">
        <x:v>AOE Exposure</x:v>
      </x:c>
      <x:c r="F3" s="48" t="str">
        <x:v>Army Value</x:v>
      </x:c>
      <x:c r="G3" s="48" t="str">
        <x:v>Per-Unit Marginal Score</x:v>
      </x:c>
      <x:c r="H3" s="48" t="str">
        <x:v>Interpretation</x:v>
      </x:c>
    </x:row>
    <x:row r="4">
      <x:c r="A4" s="50" t="str">
        <x:v>Marine</x:v>
      </x:c>
      <x:c r="B4" s="50" t="n">
        <x:v>1</x:v>
      </x:c>
      <x:c r="C4" s="16" t="n">
        <x:f>SUMIF('V2_Units'!$A$4:$A$13,$A4,'V2_Units'!$AD$4:$AD$13)*B4</x:f>
        <x:v>1</x:v>
      </x:c>
      <x:c r="D4" s="16" t="n">
        <x:f>MAX(0.65,1-0.015*B4*SUMIF('V2_Units'!$A$4:$A$13,$A4,'V2_Units'!$Q$4:$Q$13))</x:f>
        <x:v>0.9973</x:v>
      </x:c>
      <x:c r="E4" s="16" t="n">
        <x:f>1+MIN(0.60,0.03*B4)</x:f>
        <x:v>1.03</x:v>
      </x:c>
      <x:c r="F4" s="16" t="n">
        <x:f>C4*D4*E4</x:f>
        <x:v>1.0272189999999999</x:v>
      </x:c>
      <x:c r="G4" s="16" t="n">
        <x:f>F4/B4</x:f>
        <x:v>1.0272189999999999</x:v>
      </x:c>
      <x:c r="H4" t="str">
        <x:f>IF(G4&lt;0.95,"diminishing / low",IF(G4&gt;1.10,"rising / check synergy","normal"))</x:f>
        <x:v>normal</x:v>
      </x:c>
    </x:row>
    <x:row r="5">
      <x:c r="A5" s="50" t="str">
        <x:v>Marine</x:v>
      </x:c>
      <x:c r="B5" s="50" t="n">
        <x:v>5</x:v>
      </x:c>
      <x:c r="C5" s="16" t="n">
        <x:f>SUMIF('V2_Units'!$A$4:$A$13,$A5,'V2_Units'!$AD$4:$AD$13)*B5</x:f>
        <x:v>5</x:v>
      </x:c>
      <x:c r="D5" s="16" t="n">
        <x:f>MAX(0.65,1-0.015*B5*SUMIF('V2_Units'!$A$4:$A$13,$A5,'V2_Units'!$Q$4:$Q$13))</x:f>
        <x:v>0.9865</x:v>
      </x:c>
      <x:c r="E5" s="16" t="n">
        <x:f>1+MIN(0.60,0.03*B5)</x:f>
        <x:v>1.15</x:v>
      </x:c>
      <x:c r="F5" s="16" t="n">
        <x:f>C5*D5*E5</x:f>
        <x:v>5.672375</x:v>
      </x:c>
      <x:c r="G5" s="16" t="n">
        <x:f>F5/B5</x:f>
        <x:v>1.134475</x:v>
      </x:c>
      <x:c r="H5" t="str">
        <x:f>IF(G5&lt;0.95,"diminishing / low",IF(G5&gt;1.10,"rising / check synergy","normal"))</x:f>
        <x:v>rising / check synergy</x:v>
      </x:c>
    </x:row>
    <x:row r="6">
      <x:c r="A6" s="50" t="str">
        <x:v>Marine</x:v>
      </x:c>
      <x:c r="B6" s="50" t="n">
        <x:v>10</x:v>
      </x:c>
      <x:c r="C6" s="16" t="n">
        <x:f>SUMIF('V2_Units'!$A$4:$A$13,$A6,'V2_Units'!$AD$4:$AD$13)*B6</x:f>
        <x:v>10</x:v>
      </x:c>
      <x:c r="D6" s="16" t="n">
        <x:f>MAX(0.65,1-0.015*B6*SUMIF('V2_Units'!$A$4:$A$13,$A6,'V2_Units'!$Q$4:$Q$13))</x:f>
        <x:v>0.973</x:v>
      </x:c>
      <x:c r="E6" s="16" t="n">
        <x:f>1+MIN(0.60,0.03*B6)</x:f>
        <x:v>1.3</x:v>
      </x:c>
      <x:c r="F6" s="16" t="n">
        <x:f>C6*D6*E6</x:f>
        <x:v>12.649000000000001</x:v>
      </x:c>
      <x:c r="G6" s="16" t="n">
        <x:f>F6/B6</x:f>
        <x:v>1.2649000000000001</x:v>
      </x:c>
      <x:c r="H6" t="str">
        <x:f>IF(G6&lt;0.95,"diminishing / low",IF(G6&gt;1.10,"rising / check synergy","normal"))</x:f>
        <x:v>rising / check synergy</x:v>
      </x:c>
    </x:row>
    <x:row r="7">
      <x:c r="A7" s="50" t="str">
        <x:v>Marine</x:v>
      </x:c>
      <x:c r="B7" s="50" t="n">
        <x:v>20</x:v>
      </x:c>
      <x:c r="C7" s="16" t="n">
        <x:f>SUMIF('V2_Units'!$A$4:$A$13,$A7,'V2_Units'!$AD$4:$AD$13)*B7</x:f>
        <x:v>20</x:v>
      </x:c>
      <x:c r="D7" s="16" t="n">
        <x:f>MAX(0.65,1-0.015*B7*SUMIF('V2_Units'!$A$4:$A$13,$A7,'V2_Units'!$Q$4:$Q$13))</x:f>
        <x:v>0.946</x:v>
      </x:c>
      <x:c r="E7" s="16" t="n">
        <x:f>1+MIN(0.60,0.03*B7)</x:f>
        <x:v>1.6</x:v>
      </x:c>
      <x:c r="F7" s="16" t="n">
        <x:f>C7*D7*E7</x:f>
        <x:v>30.272</x:v>
      </x:c>
      <x:c r="G7" s="16" t="n">
        <x:f>F7/B7</x:f>
        <x:v>1.5135999999999998</x:v>
      </x:c>
      <x:c r="H7" t="str">
        <x:f>IF(G7&lt;0.95,"diminishing / low",IF(G7&gt;1.10,"rising / check synergy","normal"))</x:f>
        <x:v>rising / check synergy</x:v>
      </x:c>
    </x:row>
    <x:row r="8">
      <x:c r="A8" s="50" t="str">
        <x:v>Marine</x:v>
      </x:c>
      <x:c r="B8" s="50" t="n">
        <x:v>40</x:v>
      </x:c>
      <x:c r="C8" s="16" t="n">
        <x:f>SUMIF('V2_Units'!$A$4:$A$13,$A8,'V2_Units'!$AD$4:$AD$13)*B8</x:f>
        <x:v>40</x:v>
      </x:c>
      <x:c r="D8" s="16" t="n">
        <x:f>MAX(0.65,1-0.015*B8*SUMIF('V2_Units'!$A$4:$A$13,$A8,'V2_Units'!$Q$4:$Q$13))</x:f>
        <x:v>0.892</x:v>
      </x:c>
      <x:c r="E8" s="16" t="n">
        <x:f>1+MIN(0.60,0.03*B8)</x:f>
        <x:v>1.6</x:v>
      </x:c>
      <x:c r="F8" s="16" t="n">
        <x:f>C8*D8*E8</x:f>
        <x:v>57.088</x:v>
      </x:c>
      <x:c r="G8" s="16" t="n">
        <x:f>F8/B8</x:f>
        <x:v>1.4272</x:v>
      </x:c>
      <x:c r="H8" t="str">
        <x:f>IF(G8&lt;0.95,"diminishing / low",IF(G8&gt;1.10,"rising / check synergy","normal"))</x:f>
        <x:v>rising / check synergy</x:v>
      </x:c>
    </x:row>
    <x:row r="9">
      <x:c r="A9" s="50" t="str">
        <x:v>Marauder</x:v>
      </x:c>
      <x:c r="B9" s="50" t="n">
        <x:v>1</x:v>
      </x:c>
      <x:c r="C9" s="16" t="n">
        <x:f>SUMIF('V2_Units'!$A$4:$A$13,$A9,'V2_Units'!$AD$4:$AD$13)*B9</x:f>
        <x:v>1.1108</x:v>
      </x:c>
      <x:c r="D9" s="16" t="n">
        <x:f>MAX(0.65,1-0.015*B9*SUMIF('V2_Units'!$A$4:$A$13,$A9,'V2_Units'!$Q$4:$Q$13))</x:f>
        <x:v>0.9958</x:v>
      </x:c>
      <x:c r="E9" s="16" t="n">
        <x:f>1+MIN(0.60,0.03*B9)</x:f>
        <x:v>1.03</x:v>
      </x:c>
      <x:c r="F9" s="16" t="n">
        <x:f>C9*D9*E9</x:f>
        <x:v>1.1393186792</x:v>
      </x:c>
      <x:c r="G9" s="16" t="n">
        <x:f>F9/B9</x:f>
        <x:v>1.1393186792</x:v>
      </x:c>
      <x:c r="H9" t="str">
        <x:f>IF(G9&lt;0.95,"diminishing / low",IF(G9&gt;1.10,"rising / check synergy","normal"))</x:f>
        <x:v>rising / check synergy</x:v>
      </x:c>
    </x:row>
    <x:row r="10">
      <x:c r="A10" s="50" t="str">
        <x:v>Marauder</x:v>
      </x:c>
      <x:c r="B10" s="50" t="n">
        <x:v>5</x:v>
      </x:c>
      <x:c r="C10" s="16" t="n">
        <x:f>SUMIF('V2_Units'!$A$4:$A$13,$A10,'V2_Units'!$AD$4:$AD$13)*B10</x:f>
        <x:v>5.554</x:v>
      </x:c>
      <x:c r="D10" s="16" t="n">
        <x:f>MAX(0.65,1-0.015*B10*SUMIF('V2_Units'!$A$4:$A$13,$A10,'V2_Units'!$Q$4:$Q$13))</x:f>
        <x:v>0.979</x:v>
      </x:c>
      <x:c r="E10" s="16" t="n">
        <x:f>1+MIN(0.60,0.03*B10)</x:f>
        <x:v>1.15</x:v>
      </x:c>
      <x:c r="F10" s="16" t="n">
        <x:f>C10*D10*E10</x:f>
        <x:v>6.252970899999999</x:v>
      </x:c>
      <x:c r="G10" s="16" t="n">
        <x:f>F10/B10</x:f>
        <x:v>1.2505941799999998</x:v>
      </x:c>
      <x:c r="H10" t="str">
        <x:f>IF(G10&lt;0.95,"diminishing / low",IF(G10&gt;1.10,"rising / check synergy","normal"))</x:f>
        <x:v>rising / check synergy</x:v>
      </x:c>
    </x:row>
    <x:row r="11">
      <x:c r="A11" s="50" t="str">
        <x:v>Marauder</x:v>
      </x:c>
      <x:c r="B11" s="50" t="n">
        <x:v>10</x:v>
      </x:c>
      <x:c r="C11" s="16" t="n">
        <x:f>SUMIF('V2_Units'!$A$4:$A$13,$A11,'V2_Units'!$AD$4:$AD$13)*B11</x:f>
        <x:v>11.108</x:v>
      </x:c>
      <x:c r="D11" s="16" t="n">
        <x:f>MAX(0.65,1-0.015*B11*SUMIF('V2_Units'!$A$4:$A$13,$A11,'V2_Units'!$Q$4:$Q$13))</x:f>
        <x:v>0.958</x:v>
      </x:c>
      <x:c r="E11" s="16" t="n">
        <x:f>1+MIN(0.60,0.03*B11)</x:f>
        <x:v>1.3</x:v>
      </x:c>
      <x:c r="F11" s="16" t="n">
        <x:f>C11*D11*E11</x:f>
        <x:v>13.833903200000002</x:v>
      </x:c>
      <x:c r="G11" s="16" t="n">
        <x:f>F11/B11</x:f>
        <x:v>1.3833903200000002</x:v>
      </x:c>
      <x:c r="H11" t="str">
        <x:f>IF(G11&lt;0.95,"diminishing / low",IF(G11&gt;1.10,"rising / check synergy","normal"))</x:f>
        <x:v>rising / check synergy</x:v>
      </x:c>
    </x:row>
    <x:row r="12">
      <x:c r="A12" s="50" t="str">
        <x:v>Marauder</x:v>
      </x:c>
      <x:c r="B12" s="50" t="n">
        <x:v>20</x:v>
      </x:c>
      <x:c r="C12" s="16" t="n">
        <x:f>SUMIF('V2_Units'!$A$4:$A$13,$A12,'V2_Units'!$AD$4:$AD$13)*B12</x:f>
        <x:v>22.216</x:v>
      </x:c>
      <x:c r="D12" s="16" t="n">
        <x:f>MAX(0.65,1-0.015*B12*SUMIF('V2_Units'!$A$4:$A$13,$A12,'V2_Units'!$Q$4:$Q$13))</x:f>
        <x:v>0.916</x:v>
      </x:c>
      <x:c r="E12" s="16" t="n">
        <x:f>1+MIN(0.60,0.03*B12)</x:f>
        <x:v>1.6</x:v>
      </x:c>
      <x:c r="F12" s="16" t="n">
        <x:f>C12*D12*E12</x:f>
        <x:v>32.5597696</x:v>
      </x:c>
      <x:c r="G12" s="16" t="n">
        <x:f>F12/B12</x:f>
        <x:v>1.6279884800000002</x:v>
      </x:c>
      <x:c r="H12" t="str">
        <x:f>IF(G12&lt;0.95,"diminishing / low",IF(G12&gt;1.10,"rising / check synergy","normal"))</x:f>
        <x:v>rising / check synergy</x:v>
      </x:c>
    </x:row>
    <x:row r="13">
      <x:c r="A13" s="50" t="str">
        <x:v>Marauder</x:v>
      </x:c>
      <x:c r="B13" s="50" t="n">
        <x:v>40</x:v>
      </x:c>
      <x:c r="C13" s="16" t="n">
        <x:f>SUMIF('V2_Units'!$A$4:$A$13,$A13,'V2_Units'!$AD$4:$AD$13)*B13</x:f>
        <x:v>44.432</x:v>
      </x:c>
      <x:c r="D13" s="16" t="n">
        <x:f>MAX(0.65,1-0.015*B13*SUMIF('V2_Units'!$A$4:$A$13,$A13,'V2_Units'!$Q$4:$Q$13))</x:f>
        <x:v>0.832</x:v>
      </x:c>
      <x:c r="E13" s="16" t="n">
        <x:f>1+MIN(0.60,0.03*B13)</x:f>
        <x:v>1.6</x:v>
      </x:c>
      <x:c r="F13" s="16" t="n">
        <x:f>C13*D13*E13</x:f>
        <x:v>59.1478784</x:v>
      </x:c>
      <x:c r="G13" s="16" t="n">
        <x:f>F13/B13</x:f>
        <x:v>1.4786969600000002</x:v>
      </x:c>
      <x:c r="H13" t="str">
        <x:f>IF(G13&lt;0.95,"diminishing / low",IF(G13&gt;1.10,"rising / check synergy","normal"))</x:f>
        <x:v>rising / check synergy</x:v>
      </x:c>
    </x:row>
    <x:row r="14">
      <x:c r="A14" s="50" t="str">
        <x:v>Zealot</x:v>
      </x:c>
      <x:c r="B14" s="50" t="n">
        <x:v>1</x:v>
      </x:c>
      <x:c r="C14" s="16" t="n">
        <x:f>SUMIF('V2_Units'!$A$4:$A$13,$A14,'V2_Units'!$AD$4:$AD$13)*B14</x:f>
        <x:v>1.01071</x:v>
      </x:c>
      <x:c r="D14" s="16" t="n">
        <x:f>MAX(0.65,1-0.015*B14*SUMIF('V2_Units'!$A$4:$A$13,$A14,'V2_Units'!$Q$4:$Q$13))</x:f>
        <x:v>0.9949</x:v>
      </x:c>
      <x:c r="E14" s="16" t="n">
        <x:f>1+MIN(0.60,0.03*B14)</x:f>
        <x:v>1.03</x:v>
      </x:c>
      <x:c r="F14" s="16" t="n">
        <x:f>C14*D14*E14</x:f>
        <x:v>1.03572204037</x:v>
      </x:c>
      <x:c r="G14" s="16" t="n">
        <x:f>F14/B14</x:f>
        <x:v>1.03572204037</x:v>
      </x:c>
      <x:c r="H14" t="str">
        <x:f>IF(G14&lt;0.95,"diminishing / low",IF(G14&gt;1.10,"rising / check synergy","normal"))</x:f>
        <x:v>normal</x:v>
      </x:c>
    </x:row>
    <x:row r="15">
      <x:c r="A15" s="50" t="str">
        <x:v>Zealot</x:v>
      </x:c>
      <x:c r="B15" s="50" t="n">
        <x:v>5</x:v>
      </x:c>
      <x:c r="C15" s="16" t="n">
        <x:f>SUMIF('V2_Units'!$A$4:$A$13,$A15,'V2_Units'!$AD$4:$AD$13)*B15</x:f>
        <x:v>5.0535499999999995</x:v>
      </x:c>
      <x:c r="D15" s="16" t="n">
        <x:f>MAX(0.65,1-0.015*B15*SUMIF('V2_Units'!$A$4:$A$13,$A15,'V2_Units'!$Q$4:$Q$13))</x:f>
        <x:v>0.9745</x:v>
      </x:c>
      <x:c r="E15" s="16" t="n">
        <x:f>1+MIN(0.60,0.03*B15)</x:f>
        <x:v>1.15</x:v>
      </x:c>
      <x:c r="F15" s="16" t="n">
        <x:f>C15*D15*E15</x:f>
        <x:v>5.663387146249999</x:v>
      </x:c>
      <x:c r="G15" s="16" t="n">
        <x:f>F15/B15</x:f>
        <x:v>1.1326774292499997</x:v>
      </x:c>
      <x:c r="H15" t="str">
        <x:f>IF(G15&lt;0.95,"diminishing / low",IF(G15&gt;1.10,"rising / check synergy","normal"))</x:f>
        <x:v>rising / check synergy</x:v>
      </x:c>
    </x:row>
    <x:row r="16">
      <x:c r="A16" s="50" t="str">
        <x:v>Zealot</x:v>
      </x:c>
      <x:c r="B16" s="50" t="n">
        <x:v>10</x:v>
      </x:c>
      <x:c r="C16" s="16" t="n">
        <x:f>SUMIF('V2_Units'!$A$4:$A$13,$A16,'V2_Units'!$AD$4:$AD$13)*B16</x:f>
        <x:v>10.107099999999999</x:v>
      </x:c>
      <x:c r="D16" s="16" t="n">
        <x:f>MAX(0.65,1-0.015*B16*SUMIF('V2_Units'!$A$4:$A$13,$A16,'V2_Units'!$Q$4:$Q$13))</x:f>
        <x:v>0.949</x:v>
      </x:c>
      <x:c r="E16" s="16" t="n">
        <x:f>1+MIN(0.60,0.03*B16)</x:f>
        <x:v>1.3</x:v>
      </x:c>
      <x:c r="F16" s="16" t="n">
        <x:f>C16*D16*E16</x:f>
        <x:v>12.469129269999998</x:v>
      </x:c>
      <x:c r="G16" s="16" t="n">
        <x:f>F16/B16</x:f>
        <x:v>1.246912927</x:v>
      </x:c>
      <x:c r="H16" t="str">
        <x:f>IF(G16&lt;0.95,"diminishing / low",IF(G16&gt;1.10,"rising / check synergy","normal"))</x:f>
        <x:v>rising / check synergy</x:v>
      </x:c>
    </x:row>
    <x:row r="17">
      <x:c r="A17" s="50" t="str">
        <x:v>Zealot</x:v>
      </x:c>
      <x:c r="B17" s="50" t="n">
        <x:v>20</x:v>
      </x:c>
      <x:c r="C17" s="16" t="n">
        <x:f>SUMIF('V2_Units'!$A$4:$A$13,$A17,'V2_Units'!$AD$4:$AD$13)*B17</x:f>
        <x:v>20.214199999999998</x:v>
      </x:c>
      <x:c r="D17" s="16" t="n">
        <x:f>MAX(0.65,1-0.015*B17*SUMIF('V2_Units'!$A$4:$A$13,$A17,'V2_Units'!$Q$4:$Q$13))</x:f>
        <x:v>0.898</x:v>
      </x:c>
      <x:c r="E17" s="16" t="n">
        <x:f>1+MIN(0.60,0.03*B17)</x:f>
        <x:v>1.6</x:v>
      </x:c>
      <x:c r="F17" s="16" t="n">
        <x:f>C17*D17*E17</x:f>
        <x:v>29.04376256</x:v>
      </x:c>
      <x:c r="G17" s="16" t="n">
        <x:f>F17/B17</x:f>
        <x:v>1.452188128</x:v>
      </x:c>
      <x:c r="H17" t="str">
        <x:f>IF(G17&lt;0.95,"diminishing / low",IF(G17&gt;1.10,"rising / check synergy","normal"))</x:f>
        <x:v>rising / check synergy</x:v>
      </x:c>
    </x:row>
    <x:row r="18">
      <x:c r="A18" s="50" t="str">
        <x:v>Zealot</x:v>
      </x:c>
      <x:c r="B18" s="50" t="n">
        <x:v>40</x:v>
      </x:c>
      <x:c r="C18" s="16" t="n">
        <x:f>SUMIF('V2_Units'!$A$4:$A$13,$A18,'V2_Units'!$AD$4:$AD$13)*B18</x:f>
        <x:v>40.428399999999996</x:v>
      </x:c>
      <x:c r="D18" s="16" t="n">
        <x:f>MAX(0.65,1-0.015*B18*SUMIF('V2_Units'!$A$4:$A$13,$A18,'V2_Units'!$Q$4:$Q$13))</x:f>
        <x:v>0.796</x:v>
      </x:c>
      <x:c r="E18" s="16" t="n">
        <x:f>1+MIN(0.60,0.03*B18)</x:f>
        <x:v>1.6</x:v>
      </x:c>
      <x:c r="F18" s="16" t="n">
        <x:f>C18*D18*E18</x:f>
        <x:v>51.489610240000005</x:v>
      </x:c>
      <x:c r="G18" s="16" t="n">
        <x:f>F18/B18</x:f>
        <x:v>1.287240256</x:v>
      </x:c>
      <x:c r="H18" t="str">
        <x:f>IF(G18&lt;0.95,"diminishing / low",IF(G18&gt;1.10,"rising / check synergy","normal"))</x:f>
        <x:v>rising / check synergy</x:v>
      </x:c>
    </x:row>
    <x:row r="19">
      <x:c r="A19" s="50" t="str">
        <x:v>Stalker</x:v>
      </x:c>
      <x:c r="B19" s="50" t="n">
        <x:v>1</x:v>
      </x:c>
      <x:c r="C19" s="16" t="n">
        <x:f>SUMIF('V2_Units'!$A$4:$A$13,$A19,'V2_Units'!$AD$4:$AD$13)*B19</x:f>
        <x:v>1.0539843298969072</x:v>
      </x:c>
      <x:c r="D19" s="16" t="n">
        <x:f>MAX(0.65,1-0.015*B19*SUMIF('V2_Units'!$A$4:$A$13,$A19,'V2_Units'!$Q$4:$Q$13))</x:f>
        <x:v>0.9955</x:v>
      </x:c>
      <x:c r="E19" s="16" t="n">
        <x:f>1+MIN(0.60,0.03*B19)</x:f>
        <x:v>1.03</x:v>
      </x:c>
      <x:c r="F19" s="16" t="n">
        <x:f>C19*D19*E19</x:f>
        <x:v>1.0807186424247424</x:v>
      </x:c>
      <x:c r="G19" s="16" t="n">
        <x:f>F19/B19</x:f>
        <x:v>1.0807186424247424</x:v>
      </x:c>
      <x:c r="H19" t="str">
        <x:f>IF(G19&lt;0.95,"diminishing / low",IF(G19&gt;1.10,"rising / check synergy","normal"))</x:f>
        <x:v>normal</x:v>
      </x:c>
    </x:row>
    <x:row r="20">
      <x:c r="A20" s="50" t="str">
        <x:v>Stalker</x:v>
      </x:c>
      <x:c r="B20" s="50" t="n">
        <x:v>5</x:v>
      </x:c>
      <x:c r="C20" s="16" t="n">
        <x:f>SUMIF('V2_Units'!$A$4:$A$13,$A20,'V2_Units'!$AD$4:$AD$13)*B20</x:f>
        <x:v>5.269921649484536</x:v>
      </x:c>
      <x:c r="D20" s="16" t="n">
        <x:f>MAX(0.65,1-0.015*B20*SUMIF('V2_Units'!$A$4:$A$13,$A20,'V2_Units'!$Q$4:$Q$13))</x:f>
        <x:v>0.9775</x:v>
      </x:c>
      <x:c r="E20" s="16" t="n">
        <x:f>1+MIN(0.60,0.03*B20)</x:f>
        <x:v>1.15</x:v>
      </x:c>
      <x:c r="F20" s="16" t="n">
        <x:f>C20*D20*E20</x:f>
        <x:v>5.924050674226803</x:v>
      </x:c>
      <x:c r="G20" s="16" t="n">
        <x:f>F20/B20</x:f>
        <x:v>1.1848101348453606</x:v>
      </x:c>
      <x:c r="H20" t="str">
        <x:f>IF(G20&lt;0.95,"diminishing / low",IF(G20&gt;1.10,"rising / check synergy","normal"))</x:f>
        <x:v>rising / check synergy</x:v>
      </x:c>
    </x:row>
    <x:row r="21">
      <x:c r="A21" s="50" t="str">
        <x:v>Stalker</x:v>
      </x:c>
      <x:c r="B21" s="50" t="n">
        <x:v>10</x:v>
      </x:c>
      <x:c r="C21" s="16" t="n">
        <x:f>SUMIF('V2_Units'!$A$4:$A$13,$A21,'V2_Units'!$AD$4:$AD$13)*B21</x:f>
        <x:v>10.539843298969071</x:v>
      </x:c>
      <x:c r="D21" s="16" t="n">
        <x:f>MAX(0.65,1-0.015*B21*SUMIF('V2_Units'!$A$4:$A$13,$A21,'V2_Units'!$Q$4:$Q$13))</x:f>
        <x:v>0.955</x:v>
      </x:c>
      <x:c r="E21" s="16" t="n">
        <x:f>1+MIN(0.60,0.03*B21)</x:f>
        <x:v>1.3</x:v>
      </x:c>
      <x:c r="F21" s="16" t="n">
        <x:f>C21*D21*E21</x:f>
        <x:v>13.0852154556701</x:v>
      </x:c>
      <x:c r="G21" s="16" t="n">
        <x:f>F21/B21</x:f>
        <x:v>1.30852154556701</x:v>
      </x:c>
      <x:c r="H21" t="str">
        <x:f>IF(G21&lt;0.95,"diminishing / low",IF(G21&gt;1.10,"rising / check synergy","normal"))</x:f>
        <x:v>rising / check synergy</x:v>
      </x:c>
    </x:row>
    <x:row r="22">
      <x:c r="A22" s="50" t="str">
        <x:v>Stalker</x:v>
      </x:c>
      <x:c r="B22" s="50" t="n">
        <x:v>20</x:v>
      </x:c>
      <x:c r="C22" s="16" t="n">
        <x:f>SUMIF('V2_Units'!$A$4:$A$13,$A22,'V2_Units'!$AD$4:$AD$13)*B22</x:f>
        <x:v>21.079686597938142</x:v>
      </x:c>
      <x:c r="D22" s="16" t="n">
        <x:f>MAX(0.65,1-0.015*B22*SUMIF('V2_Units'!$A$4:$A$13,$A22,'V2_Units'!$Q$4:$Q$13))</x:f>
        <x:v>0.91</x:v>
      </x:c>
      <x:c r="E22" s="16" t="n">
        <x:f>1+MIN(0.60,0.03*B22)</x:f>
        <x:v>1.6</x:v>
      </x:c>
      <x:c r="F22" s="16" t="n">
        <x:f>C22*D22*E22</x:f>
        <x:v>30.692023686597935</x:v>
      </x:c>
      <x:c r="G22" s="16" t="n">
        <x:f>F22/B22</x:f>
        <x:v>1.5346011843298968</x:v>
      </x:c>
      <x:c r="H22" t="str">
        <x:f>IF(G22&lt;0.95,"diminishing / low",IF(G22&gt;1.10,"rising / check synergy","normal"))</x:f>
        <x:v>rising / check synergy</x:v>
      </x:c>
    </x:row>
    <x:row r="23">
      <x:c r="A23" s="50" t="str">
        <x:v>Stalker</x:v>
      </x:c>
      <x:c r="B23" s="50" t="n">
        <x:v>40</x:v>
      </x:c>
      <x:c r="C23" s="16" t="n">
        <x:f>SUMIF('V2_Units'!$A$4:$A$13,$A23,'V2_Units'!$AD$4:$AD$13)*B23</x:f>
        <x:v>42.159373195876285</x:v>
      </x:c>
      <x:c r="D23" s="16" t="n">
        <x:f>MAX(0.65,1-0.015*B23*SUMIF('V2_Units'!$A$4:$A$13,$A23,'V2_Units'!$Q$4:$Q$13))</x:f>
        <x:v>0.8200000000000001</x:v>
      </x:c>
      <x:c r="E23" s="16" t="n">
        <x:f>1+MIN(0.60,0.03*B23)</x:f>
        <x:v>1.6</x:v>
      </x:c>
      <x:c r="F23" s="16" t="n">
        <x:f>C23*D23*E23</x:f>
        <x:v>55.31309763298969</x:v>
      </x:c>
      <x:c r="G23" s="16" t="n">
        <x:f>F23/B23</x:f>
        <x:v>1.3828274408247423</x:v>
      </x:c>
      <x:c r="H23" t="str">
        <x:f>IF(G23&lt;0.95,"diminishing / low",IF(G23&gt;1.10,"rising / check synergy","normal"))</x:f>
        <x:v>rising / check synergy</x:v>
      </x:c>
    </x:row>
    <x:row r="24">
      <x:c r="A24" s="50" t="str">
        <x:v>Zergling</x:v>
      </x:c>
      <x:c r="B24" s="50" t="n">
        <x:v>1</x:v>
      </x:c>
      <x:c r="C24" s="16" t="n">
        <x:f>SUMIF('V2_Units'!$A$4:$A$13,$A24,'V2_Units'!$AD$4:$AD$13)*B24</x:f>
        <x:v>1.006075</x:v>
      </x:c>
      <x:c r="D24" s="16" t="n">
        <x:f>MAX(0.65,1-0.015*B24*SUMIF('V2_Units'!$A$4:$A$13,$A24,'V2_Units'!$Q$4:$Q$13))</x:f>
        <x:v>0.9982</x:v>
      </x:c>
      <x:c r="E24" s="16" t="n">
        <x:f>1+MIN(0.60,0.03*B24)</x:f>
        <x:v>1.03</x:v>
      </x:c>
      <x:c r="F24" s="16" t="n">
        <x:f>C24*D24*E24</x:f>
        <x:v>1.0343919869500002</x:v>
      </x:c>
      <x:c r="G24" s="16" t="n">
        <x:f>F24/B24</x:f>
        <x:v>1.0343919869500002</x:v>
      </x:c>
      <x:c r="H24" t="str">
        <x:f>IF(G24&lt;0.95,"diminishing / low",IF(G24&gt;1.10,"rising / check synergy","normal"))</x:f>
        <x:v>normal</x:v>
      </x:c>
    </x:row>
    <x:row r="25">
      <x:c r="A25" s="50" t="str">
        <x:v>Zergling</x:v>
      </x:c>
      <x:c r="B25" s="50" t="n">
        <x:v>5</x:v>
      </x:c>
      <x:c r="C25" s="16" t="n">
        <x:f>SUMIF('V2_Units'!$A$4:$A$13,$A25,'V2_Units'!$AD$4:$AD$13)*B25</x:f>
        <x:v>5.030375</x:v>
      </x:c>
      <x:c r="D25" s="16" t="n">
        <x:f>MAX(0.65,1-0.015*B25*SUMIF('V2_Units'!$A$4:$A$13,$A25,'V2_Units'!$Q$4:$Q$13))</x:f>
        <x:v>0.991</x:v>
      </x:c>
      <x:c r="E25" s="16" t="n">
        <x:f>1+MIN(0.60,0.03*B25)</x:f>
        <x:v>1.15</x:v>
      </x:c>
      <x:c r="F25" s="16" t="n">
        <x:f>C25*D25*E25</x:f>
        <x:v>5.73286686875</x:v>
      </x:c>
      <x:c r="G25" s="16" t="n">
        <x:f>F25/B25</x:f>
        <x:v>1.1465733737500001</x:v>
      </x:c>
      <x:c r="H25" t="str">
        <x:f>IF(G25&lt;0.95,"diminishing / low",IF(G25&gt;1.10,"rising / check synergy","normal"))</x:f>
        <x:v>rising / check synergy</x:v>
      </x:c>
    </x:row>
    <x:row r="26">
      <x:c r="A26" s="50" t="str">
        <x:v>Zergling</x:v>
      </x:c>
      <x:c r="B26" s="50" t="n">
        <x:v>10</x:v>
      </x:c>
      <x:c r="C26" s="16" t="n">
        <x:f>SUMIF('V2_Units'!$A$4:$A$13,$A26,'V2_Units'!$AD$4:$AD$13)*B26</x:f>
        <x:v>10.06075</x:v>
      </x:c>
      <x:c r="D26" s="16" t="n">
        <x:f>MAX(0.65,1-0.015*B26*SUMIF('V2_Units'!$A$4:$A$13,$A26,'V2_Units'!$Q$4:$Q$13))</x:f>
        <x:v>0.982</x:v>
      </x:c>
      <x:c r="E26" s="16" t="n">
        <x:f>1+MIN(0.60,0.03*B26)</x:f>
        <x:v>1.3</x:v>
      </x:c>
      <x:c r="F26" s="16" t="n">
        <x:f>C26*D26*E26</x:f>
        <x:v>12.843553450000002</x:v>
      </x:c>
      <x:c r="G26" s="16" t="n">
        <x:f>F26/B26</x:f>
        <x:v>1.2843553450000003</x:v>
      </x:c>
      <x:c r="H26" t="str">
        <x:f>IF(G26&lt;0.95,"diminishing / low",IF(G26&gt;1.10,"rising / check synergy","normal"))</x:f>
        <x:v>rising / check synergy</x:v>
      </x:c>
    </x:row>
    <x:row r="27">
      <x:c r="A27" s="50" t="str">
        <x:v>Zergling</x:v>
      </x:c>
      <x:c r="B27" s="50" t="n">
        <x:v>20</x:v>
      </x:c>
      <x:c r="C27" s="16" t="n">
        <x:f>SUMIF('V2_Units'!$A$4:$A$13,$A27,'V2_Units'!$AD$4:$AD$13)*B27</x:f>
        <x:v>20.1215</x:v>
      </x:c>
      <x:c r="D27" s="16" t="n">
        <x:f>MAX(0.65,1-0.015*B27*SUMIF('V2_Units'!$A$4:$A$13,$A27,'V2_Units'!$Q$4:$Q$13))</x:f>
        <x:v>0.964</x:v>
      </x:c>
      <x:c r="E27" s="16" t="n">
        <x:f>1+MIN(0.60,0.03*B27)</x:f>
        <x:v>1.6</x:v>
      </x:c>
      <x:c r="F27" s="16" t="n">
        <x:f>C27*D27*E27</x:f>
        <x:v>31.0354016</x:v>
      </x:c>
      <x:c r="G27" s="16" t="n">
        <x:f>F27/B27</x:f>
        <x:v>1.55177008</x:v>
      </x:c>
      <x:c r="H27" t="str">
        <x:f>IF(G27&lt;0.95,"diminishing / low",IF(G27&gt;1.10,"rising / check synergy","normal"))</x:f>
        <x:v>rising / check synergy</x:v>
      </x:c>
    </x:row>
    <x:row r="28">
      <x:c r="A28" s="50" t="str">
        <x:v>Zergling</x:v>
      </x:c>
      <x:c r="B28" s="50" t="n">
        <x:v>40</x:v>
      </x:c>
      <x:c r="C28" s="16" t="n">
        <x:f>SUMIF('V2_Units'!$A$4:$A$13,$A28,'V2_Units'!$AD$4:$AD$13)*B28</x:f>
        <x:v>40.243</x:v>
      </x:c>
      <x:c r="D28" s="16" t="n">
        <x:f>MAX(0.65,1-0.015*B28*SUMIF('V2_Units'!$A$4:$A$13,$A28,'V2_Units'!$Q$4:$Q$13))</x:f>
        <x:v>0.928</x:v>
      </x:c>
      <x:c r="E28" s="16" t="n">
        <x:f>1+MIN(0.60,0.03*B28)</x:f>
        <x:v>1.6</x:v>
      </x:c>
      <x:c r="F28" s="16" t="n">
        <x:f>C28*D28*E28</x:f>
        <x:v>59.75280640000001</x:v>
      </x:c>
      <x:c r="G28" s="16" t="n">
        <x:f>F28/B28</x:f>
        <x:v>1.4938201600000003</x:v>
      </x:c>
      <x:c r="H28" t="str">
        <x:f>IF(G28&lt;0.95,"diminishing / low",IF(G28&gt;1.10,"rising / check synergy","normal"))</x:f>
        <x:v>rising / check synergy</x:v>
      </x:c>
    </x:row>
    <x:row r="29">
      <x:c r="A29" s="50" t="str">
        <x:v>Roach</x:v>
      </x:c>
      <x:c r="B29" s="50" t="n">
        <x:v>1</x:v>
      </x:c>
      <x:c r="C29" s="16" t="n">
        <x:f>SUMIF('V2_Units'!$A$4:$A$13,$A29,'V2_Units'!$AD$4:$AD$13)*B29</x:f>
        <x:v>1.003375</x:v>
      </x:c>
      <x:c r="D29" s="16" t="n">
        <x:f>MAX(0.65,1-0.015*B29*SUMIF('V2_Units'!$A$4:$A$13,$A29,'V2_Units'!$Q$4:$Q$13))</x:f>
        <x:v>0.9949</x:v>
      </x:c>
      <x:c r="E29" s="16" t="n">
        <x:f>1+MIN(0.60,0.03*B29)</x:f>
        <x:v>1.03</x:v>
      </x:c>
      <x:c r="F29" s="16" t="n">
        <x:f>C29*D29*E29</x:f>
        <x:v>1.0282055211249999</x:v>
      </x:c>
      <x:c r="G29" s="16" t="n">
        <x:f>F29/B29</x:f>
        <x:v>1.0282055211249999</x:v>
      </x:c>
      <x:c r="H29" t="str">
        <x:f>IF(G29&lt;0.95,"diminishing / low",IF(G29&gt;1.10,"rising / check synergy","normal"))</x:f>
        <x:v>normal</x:v>
      </x:c>
    </x:row>
    <x:row r="30">
      <x:c r="A30" s="50" t="str">
        <x:v>Roach</x:v>
      </x:c>
      <x:c r="B30" s="50" t="n">
        <x:v>5</x:v>
      </x:c>
      <x:c r="C30" s="16" t="n">
        <x:f>SUMIF('V2_Units'!$A$4:$A$13,$A30,'V2_Units'!$AD$4:$AD$13)*B30</x:f>
        <x:v>5.016875</x:v>
      </x:c>
      <x:c r="D30" s="16" t="n">
        <x:f>MAX(0.65,1-0.015*B30*SUMIF('V2_Units'!$A$4:$A$13,$A30,'V2_Units'!$Q$4:$Q$13))</x:f>
        <x:v>0.9745</x:v>
      </x:c>
      <x:c r="E30" s="16" t="n">
        <x:f>1+MIN(0.60,0.03*B30)</x:f>
        <x:v>1.15</x:v>
      </x:c>
      <x:c r="F30" s="16" t="n">
        <x:f>C30*D30*E30</x:f>
        <x:v>5.622286390624999</x:v>
      </x:c>
      <x:c r="G30" s="16" t="n">
        <x:f>F30/B30</x:f>
        <x:v>1.1244572781249997</x:v>
      </x:c>
      <x:c r="H30" t="str">
        <x:f>IF(G30&lt;0.95,"diminishing / low",IF(G30&gt;1.10,"rising / check synergy","normal"))</x:f>
        <x:v>rising / check synergy</x:v>
      </x:c>
    </x:row>
    <x:row r="31">
      <x:c r="A31" s="50" t="str">
        <x:v>Roach</x:v>
      </x:c>
      <x:c r="B31" s="50" t="n">
        <x:v>10</x:v>
      </x:c>
      <x:c r="C31" s="16" t="n">
        <x:f>SUMIF('V2_Units'!$A$4:$A$13,$A31,'V2_Units'!$AD$4:$AD$13)*B31</x:f>
        <x:v>10.03375</x:v>
      </x:c>
      <x:c r="D31" s="16" t="n">
        <x:f>MAX(0.65,1-0.015*B31*SUMIF('V2_Units'!$A$4:$A$13,$A31,'V2_Units'!$Q$4:$Q$13))</x:f>
        <x:v>0.949</x:v>
      </x:c>
      <x:c r="E31" s="16" t="n">
        <x:f>1+MIN(0.60,0.03*B31)</x:f>
        <x:v>1.3</x:v>
      </x:c>
      <x:c r="F31" s="16" t="n">
        <x:f>C31*D31*E31</x:f>
        <x:v>12.378637374999998</x:v>
      </x:c>
      <x:c r="G31" s="16" t="n">
        <x:f>F31/B31</x:f>
        <x:v>1.2378637375</x:v>
      </x:c>
      <x:c r="H31" t="str">
        <x:f>IF(G31&lt;0.95,"diminishing / low",IF(G31&gt;1.10,"rising / check synergy","normal"))</x:f>
        <x:v>rising / check synergy</x:v>
      </x:c>
    </x:row>
    <x:row r="32">
      <x:c r="A32" s="50" t="str">
        <x:v>Roach</x:v>
      </x:c>
      <x:c r="B32" s="50" t="n">
        <x:v>20</x:v>
      </x:c>
      <x:c r="C32" s="16" t="n">
        <x:f>SUMIF('V2_Units'!$A$4:$A$13,$A32,'V2_Units'!$AD$4:$AD$13)*B32</x:f>
        <x:v>20.0675</x:v>
      </x:c>
      <x:c r="D32" s="16" t="n">
        <x:f>MAX(0.65,1-0.015*B32*SUMIF('V2_Units'!$A$4:$A$13,$A32,'V2_Units'!$Q$4:$Q$13))</x:f>
        <x:v>0.898</x:v>
      </x:c>
      <x:c r="E32" s="16" t="n">
        <x:f>1+MIN(0.60,0.03*B32)</x:f>
        <x:v>1.6</x:v>
      </x:c>
      <x:c r="F32" s="16" t="n">
        <x:f>C32*D32*E32</x:f>
        <x:v>28.832984</x:v>
      </x:c>
      <x:c r="G32" s="16" t="n">
        <x:f>F32/B32</x:f>
        <x:v>1.4416492</x:v>
      </x:c>
      <x:c r="H32" t="str">
        <x:f>IF(G32&lt;0.95,"diminishing / low",IF(G32&gt;1.10,"rising / check synergy","normal"))</x:f>
        <x:v>rising / check synergy</x:v>
      </x:c>
    </x:row>
    <x:row r="33">
      <x:c r="A33" s="50" t="str">
        <x:v>Roach</x:v>
      </x:c>
      <x:c r="B33" s="50" t="n">
        <x:v>40</x:v>
      </x:c>
      <x:c r="C33" s="16" t="n">
        <x:f>SUMIF('V2_Units'!$A$4:$A$13,$A33,'V2_Units'!$AD$4:$AD$13)*B33</x:f>
        <x:v>40.135</x:v>
      </x:c>
      <x:c r="D33" s="16" t="n">
        <x:f>MAX(0.65,1-0.015*B33*SUMIF('V2_Units'!$A$4:$A$13,$A33,'V2_Units'!$Q$4:$Q$13))</x:f>
        <x:v>0.796</x:v>
      </x:c>
      <x:c r="E33" s="16" t="n">
        <x:f>1+MIN(0.60,0.03*B33)</x:f>
        <x:v>1.6</x:v>
      </x:c>
      <x:c r="F33" s="16" t="n">
        <x:f>C33*D33*E33</x:f>
        <x:v>51.115936000000005</x:v>
      </x:c>
      <x:c r="G33" s="16" t="n">
        <x:f>F33/B33</x:f>
        <x:v>1.2778984000000002</x:v>
      </x:c>
      <x:c r="H33" t="str">
        <x:f>IF(G33&lt;0.95,"diminishing / low",IF(G33&gt;1.10,"rising / check synergy","normal"))</x:f>
        <x:v>rising / check synergy</x:v>
      </x:c>
    </x:row>
    <x:row r="34">
      <x:c r="A34" s="50" t="str">
        <x:v>Hydralisk</x:v>
      </x:c>
      <x:c r="B34" s="50" t="n">
        <x:v>1</x:v>
      </x:c>
      <x:c r="C34" s="16" t="n">
        <x:f>SUMIF('V2_Units'!$A$4:$A$13,$A34,'V2_Units'!$AD$4:$AD$13)*B34</x:f>
        <x:v>1.00648</x:v>
      </x:c>
      <x:c r="D34" s="16" t="n">
        <x:f>MAX(0.65,1-0.015*B34*SUMIF('V2_Units'!$A$4:$A$13,$A34,'V2_Units'!$Q$4:$Q$13))</x:f>
        <x:v>0.9964</x:v>
      </x:c>
      <x:c r="E34" s="16" t="n">
        <x:f>1+MIN(0.60,0.03*B34)</x:f>
        <x:v>1.03</x:v>
      </x:c>
      <x:c r="F34" s="16" t="n">
        <x:f>C34*D34*E34</x:f>
        <x:v>1.0329423721600002</x:v>
      </x:c>
      <x:c r="G34" s="16" t="n">
        <x:f>F34/B34</x:f>
        <x:v>1.0329423721600002</x:v>
      </x:c>
      <x:c r="H34" t="str">
        <x:f>IF(G34&lt;0.95,"diminishing / low",IF(G34&gt;1.10,"rising / check synergy","normal"))</x:f>
        <x:v>normal</x:v>
      </x:c>
    </x:row>
    <x:row r="35">
      <x:c r="A35" s="50" t="str">
        <x:v>Hydralisk</x:v>
      </x:c>
      <x:c r="B35" s="50" t="n">
        <x:v>5</x:v>
      </x:c>
      <x:c r="C35" s="16" t="n">
        <x:f>SUMIF('V2_Units'!$A$4:$A$13,$A35,'V2_Units'!$AD$4:$AD$13)*B35</x:f>
        <x:v>5.0324</x:v>
      </x:c>
      <x:c r="D35" s="16" t="n">
        <x:f>MAX(0.65,1-0.015*B35*SUMIF('V2_Units'!$A$4:$A$13,$A35,'V2_Units'!$Q$4:$Q$13))</x:f>
        <x:v>0.982</x:v>
      </x:c>
      <x:c r="E35" s="16" t="n">
        <x:f>1+MIN(0.60,0.03*B35)</x:f>
        <x:v>1.15</x:v>
      </x:c>
      <x:c r="F35" s="16" t="n">
        <x:f>C35*D35*E35</x:f>
        <x:v>5.68308932</x:v>
      </x:c>
      <x:c r="G35" s="16" t="n">
        <x:f>F35/B35</x:f>
        <x:v>1.136617864</x:v>
      </x:c>
      <x:c r="H35" t="str">
        <x:f>IF(G35&lt;0.95,"diminishing / low",IF(G35&gt;1.10,"rising / check synergy","normal"))</x:f>
        <x:v>rising / check synergy</x:v>
      </x:c>
    </x:row>
    <x:row r="36">
      <x:c r="A36" s="50" t="str">
        <x:v>Hydralisk</x:v>
      </x:c>
      <x:c r="B36" s="50" t="n">
        <x:v>10</x:v>
      </x:c>
      <x:c r="C36" s="16" t="n">
        <x:f>SUMIF('V2_Units'!$A$4:$A$13,$A36,'V2_Units'!$AD$4:$AD$13)*B36</x:f>
        <x:v>10.0648</x:v>
      </x:c>
      <x:c r="D36" s="16" t="n">
        <x:f>MAX(0.65,1-0.015*B36*SUMIF('V2_Units'!$A$4:$A$13,$A36,'V2_Units'!$Q$4:$Q$13))</x:f>
        <x:v>0.964</x:v>
      </x:c>
      <x:c r="E36" s="16" t="n">
        <x:f>1+MIN(0.60,0.03*B36)</x:f>
        <x:v>1.3</x:v>
      </x:c>
      <x:c r="F36" s="16" t="n">
        <x:f>C36*D36*E36</x:f>
        <x:v>12.613207359999999</x:v>
      </x:c>
      <x:c r="G36" s="16" t="n">
        <x:f>F36/B36</x:f>
        <x:v>1.2613207359999998</x:v>
      </x:c>
      <x:c r="H36" t="str">
        <x:f>IF(G36&lt;0.95,"diminishing / low",IF(G36&gt;1.10,"rising / check synergy","normal"))</x:f>
        <x:v>rising / check synergy</x:v>
      </x:c>
    </x:row>
    <x:row r="37">
      <x:c r="A37" s="50" t="str">
        <x:v>Hydralisk</x:v>
      </x:c>
      <x:c r="B37" s="50" t="n">
        <x:v>20</x:v>
      </x:c>
      <x:c r="C37" s="16" t="n">
        <x:f>SUMIF('V2_Units'!$A$4:$A$13,$A37,'V2_Units'!$AD$4:$AD$13)*B37</x:f>
        <x:v>20.1296</x:v>
      </x:c>
      <x:c r="D37" s="16" t="n">
        <x:f>MAX(0.65,1-0.015*B37*SUMIF('V2_Units'!$A$4:$A$13,$A37,'V2_Units'!$Q$4:$Q$13))</x:f>
        <x:v>0.928</x:v>
      </x:c>
      <x:c r="E37" s="16" t="n">
        <x:f>1+MIN(0.60,0.03*B37)</x:f>
        <x:v>1.6</x:v>
      </x:c>
      <x:c r="F37" s="16" t="n">
        <x:f>C37*D37*E37</x:f>
        <x:v>29.888430080000003</x:v>
      </x:c>
      <x:c r="G37" s="16" t="n">
        <x:f>F37/B37</x:f>
        <x:v>1.4944215040000002</x:v>
      </x:c>
      <x:c r="H37" t="str">
        <x:f>IF(G37&lt;0.95,"diminishing / low",IF(G37&gt;1.10,"rising / check synergy","normal"))</x:f>
        <x:v>rising / check synergy</x:v>
      </x:c>
    </x:row>
    <x:row r="38">
      <x:c r="A38" s="50" t="str">
        <x:v>Hydralisk</x:v>
      </x:c>
      <x:c r="B38" s="50" t="n">
        <x:v>40</x:v>
      </x:c>
      <x:c r="C38" s="16" t="n">
        <x:f>SUMIF('V2_Units'!$A$4:$A$13,$A38,'V2_Units'!$AD$4:$AD$13)*B38</x:f>
        <x:v>40.2592</x:v>
      </x:c>
      <x:c r="D38" s="16" t="n">
        <x:f>MAX(0.65,1-0.015*B38*SUMIF('V2_Units'!$A$4:$A$13,$A38,'V2_Units'!$Q$4:$Q$13))</x:f>
        <x:v>0.856</x:v>
      </x:c>
      <x:c r="E38" s="16" t="n">
        <x:f>1+MIN(0.60,0.03*B38)</x:f>
        <x:v>1.6</x:v>
      </x:c>
      <x:c r="F38" s="16" t="n">
        <x:f>C38*D38*E38</x:f>
        <x:v>55.13900032000001</x:v>
      </x:c>
      <x:c r="G38" s="16" t="n">
        <x:f>F38/B38</x:f>
        <x:v>1.3784750080000001</x:v>
      </x:c>
      <x:c r="H38" t="str">
        <x:f>IF(G38&lt;0.95,"diminishing / low",IF(G38&gt;1.10,"rising / check synergy","normal"))</x:f>
        <x:v>rising / check synergy</x:v>
      </x:c>
    </x:row>
    <x:row r="39">
      <x:c r="A39" s="50" t="str">
        <x:v>Immortal</x:v>
      </x:c>
      <x:c r="B39" s="50" t="n">
        <x:v>1</x:v>
      </x:c>
      <x:c r="C39" s="16" t="n">
        <x:f>SUMIF('V2_Units'!$A$4:$A$13,$A39,'V2_Units'!$AD$4:$AD$13)*B39</x:f>
        <x:v>1.11785</x:v>
      </x:c>
      <x:c r="D39" s="16" t="n">
        <x:f>MAX(0.65,1-0.015*B39*SUMIF('V2_Units'!$A$4:$A$13,$A39,'V2_Units'!$Q$4:$Q$13))</x:f>
        <x:v>0.99175</x:v>
      </x:c>
      <x:c r="E39" s="16" t="n">
        <x:f>1+MIN(0.60,0.03*B39)</x:f>
        <x:v>1.03</x:v>
      </x:c>
      <x:c r="F39" s="16" t="n">
        <x:f>C39*D39*E39</x:f>
        <x:v>1.141886569625</x:v>
      </x:c>
      <x:c r="G39" s="16" t="n">
        <x:f>F39/B39</x:f>
        <x:v>1.141886569625</x:v>
      </x:c>
      <x:c r="H39" t="str">
        <x:f>IF(G39&lt;0.95,"diminishing / low",IF(G39&gt;1.10,"rising / check synergy","normal"))</x:f>
        <x:v>rising / check synergy</x:v>
      </x:c>
    </x:row>
    <x:row r="40">
      <x:c r="A40" s="50" t="str">
        <x:v>Immortal</x:v>
      </x:c>
      <x:c r="B40" s="50" t="n">
        <x:v>5</x:v>
      </x:c>
      <x:c r="C40" s="16" t="n">
        <x:f>SUMIF('V2_Units'!$A$4:$A$13,$A40,'V2_Units'!$AD$4:$AD$13)*B40</x:f>
        <x:v>5.58925</x:v>
      </x:c>
      <x:c r="D40" s="16" t="n">
        <x:f>MAX(0.65,1-0.015*B40*SUMIF('V2_Units'!$A$4:$A$13,$A40,'V2_Units'!$Q$4:$Q$13))</x:f>
        <x:v>0.95875</x:v>
      </x:c>
      <x:c r="E40" s="16" t="n">
        <x:f>1+MIN(0.60,0.03*B40)</x:f>
        <x:v>1.15</x:v>
      </x:c>
      <x:c r="F40" s="16" t="n">
        <x:f>C40*D40*E40</x:f>
        <x:v>6.162497453124999</x:v>
      </x:c>
      <x:c r="G40" s="16" t="n">
        <x:f>F40/B40</x:f>
        <x:v>1.2324994906249997</x:v>
      </x:c>
      <x:c r="H40" t="str">
        <x:f>IF(G40&lt;0.95,"diminishing / low",IF(G40&gt;1.10,"rising / check synergy","normal"))</x:f>
        <x:v>rising / check synergy</x:v>
      </x:c>
    </x:row>
    <x:row r="41">
      <x:c r="A41" s="50" t="str">
        <x:v>Immortal</x:v>
      </x:c>
      <x:c r="B41" s="50" t="n">
        <x:v>10</x:v>
      </x:c>
      <x:c r="C41" s="16" t="n">
        <x:f>SUMIF('V2_Units'!$A$4:$A$13,$A41,'V2_Units'!$AD$4:$AD$13)*B41</x:f>
        <x:v>11.1785</x:v>
      </x:c>
      <x:c r="D41" s="16" t="n">
        <x:f>MAX(0.65,1-0.015*B41*SUMIF('V2_Units'!$A$4:$A$13,$A41,'V2_Units'!$Q$4:$Q$13))</x:f>
        <x:v>0.9175</x:v>
      </x:c>
      <x:c r="E41" s="16" t="n">
        <x:f>1+MIN(0.60,0.03*B41)</x:f>
        <x:v>1.3</x:v>
      </x:c>
      <x:c r="F41" s="16" t="n">
        <x:f>C41*D41*E41</x:f>
        <x:v>13.333155875000001</x:v>
      </x:c>
      <x:c r="G41" s="16" t="n">
        <x:f>F41/B41</x:f>
        <x:v>1.3333155875</x:v>
      </x:c>
      <x:c r="H41" t="str">
        <x:f>IF(G41&lt;0.95,"diminishing / low",IF(G41&gt;1.10,"rising / check synergy","normal"))</x:f>
        <x:v>rising / check synergy</x:v>
      </x:c>
    </x:row>
    <x:row r="42">
      <x:c r="A42" s="50" t="str">
        <x:v>Immortal</x:v>
      </x:c>
      <x:c r="B42" s="50" t="n">
        <x:v>20</x:v>
      </x:c>
      <x:c r="C42" s="16" t="n">
        <x:f>SUMIF('V2_Units'!$A$4:$A$13,$A42,'V2_Units'!$AD$4:$AD$13)*B42</x:f>
        <x:v>22.357</x:v>
      </x:c>
      <x:c r="D42" s="16" t="n">
        <x:f>MAX(0.65,1-0.015*B42*SUMIF('V2_Units'!$A$4:$A$13,$A42,'V2_Units'!$Q$4:$Q$13))</x:f>
        <x:v>0.835</x:v>
      </x:c>
      <x:c r="E42" s="16" t="n">
        <x:f>1+MIN(0.60,0.03*B42)</x:f>
        <x:v>1.6</x:v>
      </x:c>
      <x:c r="F42" s="16" t="n">
        <x:f>C42*D42*E42</x:f>
        <x:v>29.868951999999997</x:v>
      </x:c>
      <x:c r="G42" s="16" t="n">
        <x:f>F42/B42</x:f>
        <x:v>1.4934475999999999</x:v>
      </x:c>
      <x:c r="H42" t="str">
        <x:f>IF(G42&lt;0.95,"diminishing / low",IF(G42&gt;1.10,"rising / check synergy","normal"))</x:f>
        <x:v>rising / check synergy</x:v>
      </x:c>
    </x:row>
    <x:row r="43">
      <x:c r="A43" s="50" t="str">
        <x:v>Immortal</x:v>
      </x:c>
      <x:c r="B43" s="50" t="n">
        <x:v>40</x:v>
      </x:c>
      <x:c r="C43" s="16" t="n">
        <x:f>SUMIF('V2_Units'!$A$4:$A$13,$A43,'V2_Units'!$AD$4:$AD$13)*B43</x:f>
        <x:v>44.714</x:v>
      </x:c>
      <x:c r="D43" s="16" t="n">
        <x:f>MAX(0.65,1-0.015*B43*SUMIF('V2_Units'!$A$4:$A$13,$A43,'V2_Units'!$Q$4:$Q$13))</x:f>
        <x:v>0.6699999999999999</x:v>
      </x:c>
      <x:c r="E43" s="16" t="n">
        <x:f>1+MIN(0.60,0.03*B43)</x:f>
        <x:v>1.6</x:v>
      </x:c>
      <x:c r="F43" s="16" t="n">
        <x:f>C43*D43*E43</x:f>
        <x:v>47.93340799999999</x:v>
      </x:c>
      <x:c r="G43" s="16" t="n">
        <x:f>F43/B43</x:f>
        <x:v>1.1983351999999998</x:v>
      </x:c>
      <x:c r="H43" t="str">
        <x:f>IF(G43&lt;0.95,"diminishing / low",IF(G43&gt;1.10,"rising / check synergy","normal"))</x:f>
        <x:v>rising / check synergy</x:v>
      </x:c>
    </x:row>
    <x:row r="44">
      <x:c r="A44" s="50" t="str">
        <x:v>Siege Tank</x:v>
      </x:c>
      <x:c r="B44" s="50" t="n">
        <x:v>1</x:v>
      </x:c>
      <x:c r="C44" s="16" t="n">
        <x:f>SUMIF('V2_Units'!$A$4:$A$13,$A44,'V2_Units'!$AD$4:$AD$13)*B44</x:f>
        <x:v>1.02205</x:v>
      </x:c>
      <x:c r="D44" s="16" t="n">
        <x:f>MAX(0.65,1-0.015*B44*SUMIF('V2_Units'!$A$4:$A$13,$A44,'V2_Units'!$Q$4:$Q$13))</x:f>
        <x:v>0.9922</x:v>
      </x:c>
      <x:c r="E44" s="16" t="n">
        <x:f>1+MIN(0.60,0.03*B44)</x:f>
        <x:v>1.03</x:v>
      </x:c>
      <x:c r="F44" s="16" t="n">
        <x:f>C44*D44*E44</x:f>
        <x:v>1.0445003503</x:v>
      </x:c>
      <x:c r="G44" s="16" t="n">
        <x:f>F44/B44</x:f>
        <x:v>1.0445003503</x:v>
      </x:c>
      <x:c r="H44" t="str">
        <x:f>IF(G44&lt;0.95,"diminishing / low",IF(G44&gt;1.10,"rising / check synergy","normal"))</x:f>
        <x:v>normal</x:v>
      </x:c>
    </x:row>
    <x:row r="45">
      <x:c r="A45" s="50" t="str">
        <x:v>Siege Tank</x:v>
      </x:c>
      <x:c r="B45" s="50" t="n">
        <x:v>5</x:v>
      </x:c>
      <x:c r="C45" s="16" t="n">
        <x:f>SUMIF('V2_Units'!$A$4:$A$13,$A45,'V2_Units'!$AD$4:$AD$13)*B45</x:f>
        <x:v>5.11025</x:v>
      </x:c>
      <x:c r="D45" s="16" t="n">
        <x:f>MAX(0.65,1-0.015*B45*SUMIF('V2_Units'!$A$4:$A$13,$A45,'V2_Units'!$Q$4:$Q$13))</x:f>
        <x:v>0.961</x:v>
      </x:c>
      <x:c r="E45" s="16" t="n">
        <x:f>1+MIN(0.60,0.03*B45)</x:f>
        <x:v>1.15</x:v>
      </x:c>
      <x:c r="F45" s="16" t="n">
        <x:f>C45*D45*E45</x:f>
        <x:v>5.6475927875</x:v>
      </x:c>
      <x:c r="G45" s="16" t="n">
        <x:f>F45/B45</x:f>
        <x:v>1.1295185575</x:v>
      </x:c>
      <x:c r="H45" t="str">
        <x:f>IF(G45&lt;0.95,"diminishing / low",IF(G45&gt;1.10,"rising / check synergy","normal"))</x:f>
        <x:v>rising / check synergy</x:v>
      </x:c>
    </x:row>
    <x:row r="46">
      <x:c r="A46" s="50" t="str">
        <x:v>Siege Tank</x:v>
      </x:c>
      <x:c r="B46" s="50" t="n">
        <x:v>10</x:v>
      </x:c>
      <x:c r="C46" s="16" t="n">
        <x:f>SUMIF('V2_Units'!$A$4:$A$13,$A46,'V2_Units'!$AD$4:$AD$13)*B46</x:f>
        <x:v>10.2205</x:v>
      </x:c>
      <x:c r="D46" s="16" t="n">
        <x:f>MAX(0.65,1-0.015*B46*SUMIF('V2_Units'!$A$4:$A$13,$A46,'V2_Units'!$Q$4:$Q$13))</x:f>
        <x:v>0.922</x:v>
      </x:c>
      <x:c r="E46" s="16" t="n">
        <x:f>1+MIN(0.60,0.03*B46)</x:f>
        <x:v>1.3</x:v>
      </x:c>
      <x:c r="F46" s="16" t="n">
        <x:f>C46*D46*E46</x:f>
        <x:v>12.2502913</x:v>
      </x:c>
      <x:c r="G46" s="16" t="n">
        <x:f>F46/B46</x:f>
        <x:v>1.22502913</x:v>
      </x:c>
      <x:c r="H46" t="str">
        <x:f>IF(G46&lt;0.95,"diminishing / low",IF(G46&gt;1.10,"rising / check synergy","normal"))</x:f>
        <x:v>rising / check synergy</x:v>
      </x:c>
    </x:row>
    <x:row r="47">
      <x:c r="A47" s="50" t="str">
        <x:v>Siege Tank</x:v>
      </x:c>
      <x:c r="B47" s="50" t="n">
        <x:v>20</x:v>
      </x:c>
      <x:c r="C47" s="16" t="n">
        <x:f>SUMIF('V2_Units'!$A$4:$A$13,$A47,'V2_Units'!$AD$4:$AD$13)*B47</x:f>
        <x:v>20.441</x:v>
      </x:c>
      <x:c r="D47" s="16" t="n">
        <x:f>MAX(0.65,1-0.015*B47*SUMIF('V2_Units'!$A$4:$A$13,$A47,'V2_Units'!$Q$4:$Q$13))</x:f>
        <x:v>0.844</x:v>
      </x:c>
      <x:c r="E47" s="16" t="n">
        <x:f>1+MIN(0.60,0.03*B47)</x:f>
        <x:v>1.6</x:v>
      </x:c>
      <x:c r="F47" s="16" t="n">
        <x:f>C47*D47*E47</x:f>
        <x:v>27.6035264</x:v>
      </x:c>
      <x:c r="G47" s="16" t="n">
        <x:f>F47/B47</x:f>
        <x:v>1.38017632</x:v>
      </x:c>
      <x:c r="H47" t="str">
        <x:f>IF(G47&lt;0.95,"diminishing / low",IF(G47&gt;1.10,"rising / check synergy","normal"))</x:f>
        <x:v>rising / check synergy</x:v>
      </x:c>
    </x:row>
    <x:row r="48">
      <x:c r="A48" s="50" t="str">
        <x:v>Siege Tank</x:v>
      </x:c>
      <x:c r="B48" s="50" t="n">
        <x:v>40</x:v>
      </x:c>
      <x:c r="C48" s="16" t="n">
        <x:f>SUMIF('V2_Units'!$A$4:$A$13,$A48,'V2_Units'!$AD$4:$AD$13)*B48</x:f>
        <x:v>40.882</x:v>
      </x:c>
      <x:c r="D48" s="16" t="n">
        <x:f>MAX(0.65,1-0.015*B48*SUMIF('V2_Units'!$A$4:$A$13,$A48,'V2_Units'!$Q$4:$Q$13))</x:f>
        <x:v>0.688</x:v>
      </x:c>
      <x:c r="E48" s="16" t="n">
        <x:f>1+MIN(0.60,0.03*B48)</x:f>
        <x:v>1.6</x:v>
      </x:c>
      <x:c r="F48" s="16" t="n">
        <x:f>C48*D48*E48</x:f>
        <x:v>45.0029056</x:v>
      </x:c>
      <x:c r="G48" s="16" t="n">
        <x:f>F48/B48</x:f>
        <x:v>1.12507264</x:v>
      </x:c>
      <x:c r="H48" t="str">
        <x:f>IF(G48&lt;0.95,"diminishing / low",IF(G48&gt;1.10,"rising / check synergy","normal"))</x:f>
        <x:v>rising / check synergy</x:v>
      </x:c>
    </x:row>
    <x:row r="49">
      <x:c r="A49" s="50" t="str">
        <x:v>Colossus</x:v>
      </x:c>
      <x:c r="B49" s="50" t="n">
        <x:v>1</x:v>
      </x:c>
      <x:c r="C49" s="16" t="n">
        <x:f>SUMIF('V2_Units'!$A$4:$A$13,$A49,'V2_Units'!$AD$4:$AD$13)*B49</x:f>
        <x:v>1.015015</x:v>
      </x:c>
      <x:c r="D49" s="16" t="n">
        <x:f>MAX(0.65,1-0.015*B49*SUMIF('V2_Units'!$A$4:$A$13,$A49,'V2_Units'!$Q$4:$Q$13))</x:f>
        <x:v>0.991</x:v>
      </x:c>
      <x:c r="E49" s="16" t="n">
        <x:f>1+MIN(0.60,0.03*B49)</x:f>
        <x:v>1.03</x:v>
      </x:c>
      <x:c r="F49" s="16" t="n">
        <x:f>C49*D49*E49</x:f>
        <x:v>1.0360562609500001</x:v>
      </x:c>
      <x:c r="G49" s="16" t="n">
        <x:f>F49/B49</x:f>
        <x:v>1.0360562609500001</x:v>
      </x:c>
      <x:c r="H49" t="str">
        <x:f>IF(G49&lt;0.95,"diminishing / low",IF(G49&gt;1.10,"rising / check synergy","normal"))</x:f>
        <x:v>normal</x:v>
      </x:c>
    </x:row>
    <x:row r="50">
      <x:c r="A50" s="50" t="str">
        <x:v>Colossus</x:v>
      </x:c>
      <x:c r="B50" s="50" t="n">
        <x:v>5</x:v>
      </x:c>
      <x:c r="C50" s="16" t="n">
        <x:f>SUMIF('V2_Units'!$A$4:$A$13,$A50,'V2_Units'!$AD$4:$AD$13)*B50</x:f>
        <x:v>5.075075</x:v>
      </x:c>
      <x:c r="D50" s="16" t="n">
        <x:f>MAX(0.65,1-0.015*B50*SUMIF('V2_Units'!$A$4:$A$13,$A50,'V2_Units'!$Q$4:$Q$13))</x:f>
        <x:v>0.955</x:v>
      </x:c>
      <x:c r="E50" s="16" t="n">
        <x:f>1+MIN(0.60,0.03*B50)</x:f>
        <x:v>1.15</x:v>
      </x:c>
      <x:c r="F50" s="16" t="n">
        <x:f>C50*D50*E50</x:f>
        <x:v>5.57370111875</x:v>
      </x:c>
      <x:c r="G50" s="16" t="n">
        <x:f>F50/B50</x:f>
        <x:v>1.11474022375</x:v>
      </x:c>
      <x:c r="H50" t="str">
        <x:f>IF(G50&lt;0.95,"diminishing / low",IF(G50&gt;1.10,"rising / check synergy","normal"))</x:f>
        <x:v>rising / check synergy</x:v>
      </x:c>
    </x:row>
    <x:row r="51">
      <x:c r="A51" s="50" t="str">
        <x:v>Colossus</x:v>
      </x:c>
      <x:c r="B51" s="50" t="n">
        <x:v>10</x:v>
      </x:c>
      <x:c r="C51" s="16" t="n">
        <x:f>SUMIF('V2_Units'!$A$4:$A$13,$A51,'V2_Units'!$AD$4:$AD$13)*B51</x:f>
        <x:v>10.15015</x:v>
      </x:c>
      <x:c r="D51" s="16" t="n">
        <x:f>MAX(0.65,1-0.015*B51*SUMIF('V2_Units'!$A$4:$A$13,$A51,'V2_Units'!$Q$4:$Q$13))</x:f>
        <x:v>0.91</x:v>
      </x:c>
      <x:c r="E51" s="16" t="n">
        <x:f>1+MIN(0.60,0.03*B51)</x:f>
        <x:v>1.3</x:v>
      </x:c>
      <x:c r="F51" s="16" t="n">
        <x:f>C51*D51*E51</x:f>
        <x:v>12.00762745</x:v>
      </x:c>
      <x:c r="G51" s="16" t="n">
        <x:f>F51/B51</x:f>
        <x:v>1.200762745</x:v>
      </x:c>
      <x:c r="H51" t="str">
        <x:f>IF(G51&lt;0.95,"diminishing / low",IF(G51&gt;1.10,"rising / check synergy","normal"))</x:f>
        <x:v>rising / check synergy</x:v>
      </x:c>
    </x:row>
    <x:row r="52">
      <x:c r="A52" s="50" t="str">
        <x:v>Colossus</x:v>
      </x:c>
      <x:c r="B52" s="50" t="n">
        <x:v>20</x:v>
      </x:c>
      <x:c r="C52" s="16" t="n">
        <x:f>SUMIF('V2_Units'!$A$4:$A$13,$A52,'V2_Units'!$AD$4:$AD$13)*B52</x:f>
        <x:v>20.3003</x:v>
      </x:c>
      <x:c r="D52" s="16" t="n">
        <x:f>MAX(0.65,1-0.015*B52*SUMIF('V2_Units'!$A$4:$A$13,$A52,'V2_Units'!$Q$4:$Q$13))</x:f>
        <x:v>0.8200000000000001</x:v>
      </x:c>
      <x:c r="E52" s="16" t="n">
        <x:f>1+MIN(0.60,0.03*B52)</x:f>
        <x:v>1.6</x:v>
      </x:c>
      <x:c r="F52" s="16" t="n">
        <x:f>C52*D52*E52</x:f>
        <x:v>26.633993600000004</x:v>
      </x:c>
      <x:c r="G52" s="16" t="n">
        <x:f>F52/B52</x:f>
        <x:v>1.3316996800000003</x:v>
      </x:c>
      <x:c r="H52" t="str">
        <x:f>IF(G52&lt;0.95,"diminishing / low",IF(G52&gt;1.10,"rising / check synergy","normal"))</x:f>
        <x:v>rising / check synergy</x:v>
      </x:c>
    </x:row>
    <x:row r="53">
      <x:c r="A53" s="50" t="str">
        <x:v>Colossus</x:v>
      </x:c>
      <x:c r="B53" s="50" t="n">
        <x:v>40</x:v>
      </x:c>
      <x:c r="C53" s="16" t="n">
        <x:f>SUMIF('V2_Units'!$A$4:$A$13,$A53,'V2_Units'!$AD$4:$AD$13)*B53</x:f>
        <x:v>40.6006</x:v>
      </x:c>
      <x:c r="D53" s="16" t="n">
        <x:f>MAX(0.65,1-0.015*B53*SUMIF('V2_Units'!$A$4:$A$13,$A53,'V2_Units'!$Q$4:$Q$13))</x:f>
        <x:v>0.65</x:v>
      </x:c>
      <x:c r="E53" s="16" t="n">
        <x:f>1+MIN(0.60,0.03*B53)</x:f>
        <x:v>1.6</x:v>
      </x:c>
      <x:c r="F53" s="16" t="n">
        <x:f>C53*D53*E53</x:f>
        <x:v>42.224624000000006</x:v>
      </x:c>
      <x:c r="G53" s="16" t="n">
        <x:f>F53/B53</x:f>
        <x:v>1.0556156</x:v>
      </x:c>
      <x:c r="H53" t="str">
        <x:f>IF(G53&lt;0.95,"diminishing / low",IF(G53&gt;1.10,"rising / check synergy","normal"))</x:f>
        <x:v>normal</x:v>
      </x:c>
    </x:row>
  </x:sheetData>
  <x:conditionalFormatting sqref="G4:G5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{319503A5-5C59-D8B9-D189-46BC40481FFA}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9503A5-5C59-D8B9-D189-46BC40481FFA}">
            <x14:dataBar gradient="1">
              <x14:cfvo type="min"/>
              <x14:cfvo type="max"/>
              <x14:fillColor rgb="FF0F766E"/>
            </x14:dataBar>
          </x14:cfRule>
          <xm:sqref>G4:G53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</x:cols>
  <x:sheetData>
    <x:row r="1">
      <x:c r="A1" s="43" t="str">
        <x:v>RTS / SC2 Balance Calculator V2 — Parameters</x:v>
      </x:c>
      <x:c r="B1" s="43"/>
      <x:c r="C1" s="43"/>
    </x:row>
    <x:row r="2">
      <x:c r="A2" t="str"/>
      <x:c r="B2"/>
      <x:c r="C2"/>
    </x:row>
    <x:row r="3">
      <x:c r="A3" s="48" t="str">
        <x:v>Economic / constraint coefficients</x:v>
      </x:c>
      <x:c r="B3" s="48" t="str">
        <x:v>Value</x:v>
      </x:c>
      <x:c r="C3" s="48" t="str">
        <x:v>Notes</x:v>
      </x:c>
      <x:c r="E3" t="str">
        <x:v>Tech</x:v>
      </x:c>
      <x:c r="F3" t="str">
        <x:v>Tech Cost</x:v>
      </x:c>
    </x:row>
    <x:row r="4">
      <x:c r="A4" s="50" t="str">
        <x:v>Mineral opportunity weight</x:v>
      </x:c>
      <x:c r="B4" s="50" t="n">
        <x:v>1</x:v>
      </x:c>
      <x:c r="C4" t="str">
        <x:v>Baseline; recalibrate from economy / replay data</x:v>
      </x:c>
      <x:c r="E4" t="str">
        <x:v>T1</x:v>
      </x:c>
      <x:c r="F4" t="n">
        <x:v>1</x:v>
      </x:c>
    </x:row>
    <x:row r="5">
      <x:c r="A5" s="50" t="str">
        <x:v>Gas opportunity weight</x:v>
      </x:c>
      <x:c r="B5" s="50" t="n">
        <x:v>1.5</x:v>
      </x:c>
      <x:c r="C5" t="str">
        <x:v>Initial prior only</x:v>
      </x:c>
      <x:c r="E5" t="str">
        <x:v>T2</x:v>
      </x:c>
      <x:c r="F5" t="n">
        <x:v>1.05</x:v>
      </x:c>
    </x:row>
    <x:row r="6">
      <x:c r="A6" s="50" t="str">
        <x:v>Supply weight</x:v>
      </x:c>
      <x:c r="B6" s="50" t="n">
        <x:v>0.75</x:v>
      </x:c>
      <x:c r="C6" t="str">
        <x:v>Initial prior; population is a hard army-cap constraint</x:v>
      </x:c>
      <x:c r="E6" t="str">
        <x:v>T3</x:v>
      </x:c>
      <x:c r="F6" t="n">
        <x:v>1.1</x:v>
      </x:c>
    </x:row>
    <x:row r="7">
      <x:c r="A7" s="50" t="str">
        <x:v>Build-time weight</x:v>
      </x:c>
      <x:c r="B7" s="50" t="n">
        <x:v>0.5</x:v>
      </x:c>
      <x:c r="C7" t="str">
        <x:v>Initial prior; production is a throughput constraint</x:v>
      </x:c>
    </x:row>
    <x:row r="8">
      <x:c r="A8" s="50" t="str">
        <x:v>Resource share</x:v>
      </x:c>
      <x:c r="B8" s="50" t="n">
        <x:v>0.6</x:v>
      </x:c>
      <x:c r="C8" t="str">
        <x:v>Share of scalar cost index</x:v>
      </x:c>
    </x:row>
    <x:row r="9">
      <x:c r="A9" s="50" t="str">
        <x:v>Constraint share</x:v>
      </x:c>
      <x:c r="B9" s="50" t="n">
        <x:v>0.4</x:v>
      </x:c>
      <x:c r="C9" t="str">
        <x:v>Share of supply/time cost index</x:v>
      </x:c>
    </x:row>
    <x:row r="10">
      <x:c r="A10" s="50" t="str">
        <x:v>Ability impact cap</x:v>
      </x:c>
      <x:c r="B10" s="50" t="n">
        <x:v>0.35</x:v>
      </x:c>
      <x:c r="C10" t="str">
        <x:v>Maximum additive skill impact before uptime/counterplay</x:v>
      </x:c>
    </x:row>
    <x:row r="11">
      <x:c r="A11" s="50" t="str">
        <x:v>Tech cost T1</x:v>
      </x:c>
      <x:c r="B11" s="50" t="n">
        <x:v>1</x:v>
      </x:c>
      <x:c r="C11" t="str">
        <x:v>Strategic friction multiplier</x:v>
      </x:c>
    </x:row>
    <x:row r="12">
      <x:c r="A12" s="50" t="str">
        <x:v>Tech cost T2</x:v>
      </x:c>
      <x:c r="B12" s="50" t="n">
        <x:v>1.05</x:v>
      </x:c>
      <x:c r="C12" t="str">
        <x:v>Strategic friction multiplier</x:v>
      </x:c>
    </x:row>
    <x:row r="13">
      <x:c r="A13" s="50" t="str">
        <x:v>Tech cost T3</x:v>
      </x:c>
      <x:c r="B13" s="50" t="n">
        <x:v>1.1</x:v>
      </x:c>
      <x:c r="C13" t="str">
        <x:v>Strategic friction multiplier</x:v>
      </x:c>
    </x:row>
    <x:row r="14">
      <x:c r="A14" s="50" t="str">
        <x:v>Normal score low</x:v>
      </x:c>
      <x:c r="B14" s="50" t="n">
        <x:v>0.9</x:v>
      </x:c>
      <x:c r="C14" t="str">
        <x:v>Below this = investigate</x:v>
      </x:c>
    </x:row>
    <x:row r="15">
      <x:c r="A15" s="50" t="str">
        <x:v>Normal score high</x:v>
      </x:c>
      <x:c r="B15" s="50" t="n">
        <x:v>1.1</x:v>
      </x:c>
      <x:c r="C15" t="str">
        <x:v>Above this = investigate</x:v>
      </x:c>
    </x:row>
    <x:row r="16">
      <x:c r="A16" s="50" t="str">
        <x:v>Strong alert</x:v>
      </x:c>
      <x:c r="B16" s="50" t="n">
        <x:v>1.15</x:v>
      </x:c>
      <x:c r="C16" t="str">
        <x:v>Strong over-efficiency alert</x:v>
      </x:c>
    </x:row>
    <x:row r="17">
      <x:c r="A17" s="50" t="str">
        <x:v>Weak alert</x:v>
      </x:c>
      <x:c r="B17" s="50" t="n">
        <x:v>0.85</x:v>
      </x:c>
      <x:c r="C17" t="str">
        <x:v>Strong under-efficiency alert</x:v>
      </x:c>
    </x:row>
    <x:row r="18">
      <x:c r="A18" t="str"/>
      <x:c r="B18"/>
      <x:c r="C18"/>
    </x:row>
    <x:row r="19">
      <x:c r="A19" t="str">
        <x:v>Archetype</x:v>
      </x:c>
      <x:c r="B19" t="str">
        <x:v>Anchor</x:v>
      </x:c>
      <x:c r="C19" t="str">
        <x:v>Role description</x:v>
      </x:c>
    </x:row>
    <x:row r="20">
      <x:c r="A20" t="str">
        <x:v>General DPS</x:v>
      </x:c>
      <x:c r="B20" t="str">
        <x:v>Marine</x:v>
      </x:c>
      <x:c r="C20" t="str">
        <x:v>Cheap general-purpose ranged DPS</x:v>
      </x:c>
    </x:row>
    <x:row r="21">
      <x:c r="A21" t="str">
        <x:v>Frontline</x:v>
      </x:c>
      <x:c r="B21" t="str">
        <x:v>Zealot</x:v>
      </x:c>
      <x:c r="C21" t="str">
        <x:v>Melee front line / engage</x:v>
      </x:c>
    </x:row>
    <x:row r="22">
      <x:c r="A22" t="str">
        <x:v>Anti-Armor</x:v>
      </x:c>
      <x:c r="B22" t="str">
        <x:v>Marauder</x:v>
      </x:c>
      <x:c r="C22" t="str">
        <x:v>Armored target specialist</x:v>
      </x:c>
    </x:row>
    <x:row r="23">
      <x:c r="A23" t="str">
        <x:v>Mobile General</x:v>
      </x:c>
      <x:c r="B23" t="str">
        <x:v>Stalker</x:v>
      </x:c>
      <x:c r="C23" t="str">
        <x:v>Mobile ranged / AA</x:v>
      </x:c>
    </x:row>
    <x:row r="24">
      <x:c r="A24" t="str">
        <x:v>Swarm</x:v>
      </x:c>
      <x:c r="B24" t="str">
        <x:v>Zergling</x:v>
      </x:c>
      <x:c r="C24" t="str">
        <x:v>Low-cost mass / surround</x:v>
      </x:c>
    </x:row>
    <x:row r="25">
      <x:c r="A25" t="str">
        <x:v>Durable Assault</x:v>
      </x:c>
      <x:c r="B25" t="str">
        <x:v>Roach</x:v>
      </x:c>
      <x:c r="C25" t="str">
        <x:v>Durable mid-line assault</x:v>
      </x:c>
    </x:row>
    <x:row r="26">
      <x:c r="A26" t="str">
        <x:v>Ranged DPS</x:v>
      </x:c>
      <x:c r="B26" t="str">
        <x:v>Hydralisk</x:v>
      </x:c>
      <x:c r="C26" t="str">
        <x:v>High DPS / AA ranged</x:v>
      </x:c>
    </x:row>
    <x:row r="27">
      <x:c r="A27" t="str">
        <x:v>Premium Anti-Armor</x:v>
      </x:c>
      <x:c r="B27" t="str">
        <x:v>Immortal</x:v>
      </x:c>
      <x:c r="C27" t="str">
        <x:v>High-value anti-heavy</x:v>
      </x:c>
    </x:row>
    <x:row r="28">
      <x:c r="A28" t="str">
        <x:v>Siege / AOE</x:v>
      </x:c>
      <x:c r="B28" t="str">
        <x:v>Siege Tank</x:v>
      </x:c>
      <x:c r="C28" t="str">
        <x:v>Long-range siege / area denial</x:v>
      </x:c>
    </x:row>
    <x:row r="29">
      <x:c r="A29" t="str">
        <x:v>Premium AOE</x:v>
      </x:c>
      <x:c r="B29" t="str">
        <x:v>Colossus</x:v>
      </x:c>
      <x:c r="C29" t="str">
        <x:v>Line AOE / terrain / anti-light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57" t="str">
        <x:v>RTS / SC2 Custom Commander Rebalancer V3</x:v>
      </x:c>
    </x:row>
    <x:row r="3" ht="28" customHeight="1">
      <x:c r="A3" s="59" t="str">
        <x:v>Purpose</x:v>
      </x:c>
      <x:c r="B3" s="35" t="str">
        <x:v>Use original SC2 benchmark units as the reference frame for rebalancing player-made commander units.</x:v>
      </x:c>
    </x:row>
    <x:row r="4" ht="28" customHeight="1">
      <x:c r="A4" s="59" t="str">
        <x:v>1</x:v>
      </x:c>
      <x:c r="B4" s="35" t="str">
        <x:v>Choose a Primary Benchmark that matches the custom unit's role. Secondary Benchmark is a cross-check.</x:v>
      </x:c>
    </x:row>
    <x:row r="5" ht="28" customHeight="1">
      <x:c r="A5" s="59" t="str">
        <x:v>2</x:v>
      </x:c>
      <x:c r="B5" s="35" t="str">
        <x:v>Enter raw unit stats in V3_CustomUnits. Yellow cells are inputs; green cells are formula outputs.</x:v>
      </x:c>
    </x:row>
    <x:row r="6" ht="28" customHeight="1">
      <x:c r="A6" s="59" t="str">
        <x:v>3</x:v>
      </x:c>
      <x:c r="B6" s="35" t="str">
        <x:v>RoleFit / FormationFactor / ScenarioFactor are explicit contextual modifiers; keep near 1.00 unless justified.</x:v>
      </x:c>
    </x:row>
    <x:row r="7" ht="28" customHeight="1">
      <x:c r="A7" s="59" t="str">
        <x:v>4</x:v>
      </x:c>
      <x:c r="B7" s="35" t="str">
        <x:v>BalanceScore is a benchmark-relative screening metric, not an official Blizzard score.</x:v>
      </x:c>
    </x:row>
    <x:row r="8" ht="28" customHeight="1">
      <x:c r="A8" s="59" t="str">
        <x:v>5</x:v>
      </x:c>
      <x:c r="B8" s="35" t="str">
        <x:v>V3_Diagnosis identifies whether the pressure comes mainly from static stats, skill/scenario value, or cost.</x:v>
      </x:c>
    </x:row>
    <x:row r="9" ht="28" customHeight="1">
      <x:c r="A9" s="59" t="str">
        <x:v>6</x:v>
      </x:c>
      <x:c r="B9" s="35" t="str">
        <x:v>V3_Recommendations provides economic, DPS and durability correction alternatives.</x:v>
      </x:c>
    </x:row>
    <x:row r="10" ht="28" customHeight="1">
      <x:c r="A10" s="59" t="str">
        <x:v>7</x:v>
      </x:c>
      <x:c r="B10" s="35" t="str">
        <x:v>Do not force every specialist to 1.00 in every scenario; compare like-with-like first.</x:v>
      </x:c>
    </x:row>
    <x:row r="11" ht="28" customHeight="1">
      <x:c r="A11" s="59" t="str">
        <x:v>8</x:v>
      </x:c>
      <x:c r="B11" s="35" t="str">
        <x:v>Use the original V2 scenario/marginal sheets for AoE, terrain, collision, overkill and composition validation.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5" max="5" width="24" hidden="0" customWidth="1"/>
    <x:col min="6" max="6" width="14" hidden="0" customWidth="1"/>
  </x:cols>
  <x:sheetData>
    <x:row r="1">
      <x:c r="A1" s="57" t="str">
        <x:v>Custom Commander Rebalancer V3 — Parameters</x:v>
      </x:c>
    </x:row>
    <x:row r="3">
      <x:c r="A3" s="62" t="str">
        <x:v>Static dimension</x:v>
      </x:c>
      <x:c r="B3" s="62" t="str">
        <x:v>Weight</x:v>
      </x:c>
      <x:c r="C3" s="62" t="str">
        <x:v>Meaning</x:v>
      </x:c>
      <x:c r="D3" s="35"/>
      <x:c r="E3" s="62" t="str">
        <x:v>Economic coefficient</x:v>
      </x:c>
      <x:c r="F3" s="62" t="str">
        <x:v>Value</x:v>
      </x:c>
      <x:c r="G3" s="35"/>
    </x:row>
    <x:row r="4">
      <x:c r="A4" s="35" t="str">
        <x:v>EHP</x:v>
      </x:c>
      <x:c r="B4" s="35" t="n">
        <x:v>0.15</x:v>
      </x:c>
      <x:c r="C4" s="35" t="str">
        <x:v>Durability / effective hit points</x:v>
      </x:c>
      <x:c r="D4" s="35"/>
      <x:c r="E4" s="35" t="str">
        <x:v>Mineral weight</x:v>
      </x:c>
      <x:c r="F4" s="35" t="n">
        <x:v>1</x:v>
      </x:c>
      <x:c r="G4" s="35"/>
    </x:row>
    <x:row r="5">
      <x:c r="A5" s="35" t="str">
        <x:v>Ground DPS</x:v>
      </x:c>
      <x:c r="B5" s="35" t="n">
        <x:v>0.2</x:v>
      </x:c>
      <x:c r="C5" s="35" t="str">
        <x:v>Primary ground damage output</x:v>
      </x:c>
      <x:c r="D5" s="35"/>
      <x:c r="E5" s="35" t="str">
        <x:v>Gas weight</x:v>
      </x:c>
      <x:c r="F5" s="35" t="n">
        <x:v>1.5</x:v>
      </x:c>
      <x:c r="G5" s="35"/>
    </x:row>
    <x:row r="6">
      <x:c r="A6" s="35" t="str">
        <x:v>Air DPS</x:v>
      </x:c>
      <x:c r="B6" s="35" t="n">
        <x:v>0.05</x:v>
      </x:c>
      <x:c r="C6" s="35" t="str">
        <x:v>Air-target output</x:v>
      </x:c>
      <x:c r="D6" s="35"/>
      <x:c r="E6" s="35" t="str">
        <x:v>Supply weight</x:v>
      </x:c>
      <x:c r="F6" s="35" t="n">
        <x:v>0.75</x:v>
      </x:c>
      <x:c r="G6" s="35"/>
    </x:row>
    <x:row r="7">
      <x:c r="A7" s="35" t="str">
        <x:v>Range</x:v>
      </x:c>
      <x:c r="B7" s="35" t="n">
        <x:v>0.08</x:v>
      </x:c>
      <x:c r="C7" s="35" t="str">
        <x:v>Reach / firing window</x:v>
      </x:c>
      <x:c r="D7" s="35"/>
      <x:c r="E7" s="35" t="str">
        <x:v>Build-time weight</x:v>
      </x:c>
      <x:c r="F7" s="35" t="n">
        <x:v>0.5</x:v>
      </x:c>
      <x:c r="G7" s="35"/>
    </x:row>
    <x:row r="8">
      <x:c r="A8" s="35" t="str">
        <x:v>Armor / mitigation</x:v>
      </x:c>
      <x:c r="B8" s="35" t="n">
        <x:v>0.07</x:v>
      </x:c>
      <x:c r="C8" s="35" t="str">
        <x:v>Armor normalized to benchmark</x:v>
      </x:c>
      <x:c r="D8" s="35"/>
      <x:c r="E8" s="35" t="str">
        <x:v>Normal low</x:v>
      </x:c>
      <x:c r="F8" s="35" t="n">
        <x:v>0.9</x:v>
      </x:c>
      <x:c r="G8" s="35"/>
    </x:row>
    <x:row r="9">
      <x:c r="A9" s="35" t="str">
        <x:v>Mobility</x:v>
      </x:c>
      <x:c r="B9" s="35" t="n">
        <x:v>0.07</x:v>
      </x:c>
      <x:c r="C9" s="35" t="str">
        <x:v>Movement / engagement control</x:v>
      </x:c>
      <x:c r="D9" s="35"/>
      <x:c r="E9" s="35" t="str">
        <x:v>Normal high</x:v>
      </x:c>
      <x:c r="F9" s="35" t="n">
        <x:v>1.1</x:v>
      </x:c>
      <x:c r="G9" s="35"/>
    </x:row>
    <x:row r="10">
      <x:c r="A10" s="35" t="str">
        <x:v>Target bonus</x:v>
      </x:c>
      <x:c r="B10" s="35" t="n">
        <x:v>0.1</x:v>
      </x:c>
      <x:c r="C10" s="35" t="str">
        <x:v>Expected target-type bonus</x:v>
      </x:c>
      <x:c r="D10" s="35"/>
      <x:c r="E10" s="35"/>
      <x:c r="F10" s="35"/>
      <x:c r="G10" s="35"/>
    </x:row>
    <x:row r="11">
      <x:c r="A11" s="35" t="str">
        <x:v>Role / specialization</x:v>
      </x:c>
      <x:c r="B11" s="35" t="n">
        <x:v>0.08</x:v>
      </x:c>
      <x:c r="C11" s="35" t="str">
        <x:v>Role fit vs selected benchmark</x:v>
      </x:c>
      <x:c r="D11" s="35"/>
      <x:c r="E11" s="62" t="str">
        <x:v>Archetype / anchor</x:v>
      </x:c>
      <x:c r="F11" s="62" t="str">
        <x:v>Anchor</x:v>
      </x:c>
      <x:c r="G11" s="35"/>
    </x:row>
    <x:row r="12">
      <x:c r="A12" s="35" t="str">
        <x:v>Utility</x:v>
      </x:c>
      <x:c r="B12" s="35" t="n">
        <x:v>0.05</x:v>
      </x:c>
      <x:c r="C12" s="35" t="str">
        <x:v>Non-damage utility</x:v>
      </x:c>
      <x:c r="D12" s="35"/>
      <x:c r="E12" s="35" t="str">
        <x:v>General DPS</x:v>
      </x:c>
      <x:c r="F12" s="35" t="str">
        <x:v>Marine</x:v>
      </x:c>
      <x:c r="G12" s="35"/>
    </x:row>
    <x:row r="13">
      <x:c r="A13" s="35" t="str">
        <x:v>Skill</x:v>
      </x:c>
      <x:c r="B13" s="35" t="n">
        <x:v>0.15</x:v>
      </x:c>
      <x:c r="C13" s="35" t="str">
        <x:v>Skill / mode value</x:v>
      </x:c>
      <x:c r="D13" s="35"/>
      <x:c r="E13" s="35" t="str">
        <x:v>Frontline</x:v>
      </x:c>
      <x:c r="F13" s="35" t="str">
        <x:v>Zealot</x:v>
      </x:c>
      <x:c r="G13" s="35"/>
    </x:row>
    <x:row r="14">
      <x:c r="A14" s="35" t="str">
        <x:v>Total</x:v>
      </x:c>
      <x:c r="B14" s="35" t="n">
        <x:f>SUM(B4:B13)</x:f>
        <x:v>1</x:v>
      </x:c>
      <x:c r="C14" s="35" t="str">
        <x:v>Should equal 1.00</x:v>
      </x:c>
      <x:c r="D14" s="35"/>
      <x:c r="E14" s="35" t="str">
        <x:v>Anti-Armor</x:v>
      </x:c>
      <x:c r="F14" s="35" t="str">
        <x:v>Marauder</x:v>
      </x:c>
      <x:c r="G14" s="35"/>
    </x:row>
    <x:row r="15">
      <x:c r="A15" s="35"/>
      <x:c r="B15" s="35"/>
      <x:c r="C15" s="35"/>
      <x:c r="D15" s="35"/>
      <x:c r="E15" s="35" t="str">
        <x:v>Mobile General</x:v>
      </x:c>
      <x:c r="F15" s="35" t="str">
        <x:v>Stalker</x:v>
      </x:c>
      <x:c r="G15" s="35"/>
    </x:row>
    <x:row r="16">
      <x:c r="A16" s="35"/>
      <x:c r="B16" s="35"/>
      <x:c r="C16" s="35"/>
      <x:c r="D16" s="35"/>
      <x:c r="E16" s="35" t="str">
        <x:v>Swarm</x:v>
      </x:c>
      <x:c r="F16" s="35" t="str">
        <x:v>Zergling</x:v>
      </x:c>
      <x:c r="G16" s="35"/>
    </x:row>
    <x:row r="17">
      <x:c r="A17" s="62" t="str">
        <x:v>Factor</x:v>
      </x:c>
      <x:c r="B17" s="62" t="str">
        <x:v>Range</x:v>
      </x:c>
      <x:c r="C17" s="62" t="str">
        <x:v>Use</x:v>
      </x:c>
      <x:c r="D17" s="35"/>
      <x:c r="E17" s="35" t="str">
        <x:v>Durable Assault</x:v>
      </x:c>
      <x:c r="F17" s="35" t="str">
        <x:v>Roach</x:v>
      </x:c>
      <x:c r="G17" s="35"/>
    </x:row>
    <x:row r="18">
      <x:c r="A18" s="35" t="str">
        <x:v>RoleFit</x:v>
      </x:c>
      <x:c r="B18" s="35" t="str">
        <x:v>0.90–1.10</x:v>
      </x:c>
      <x:c r="C18" s="35" t="str">
        <x:v>Role matchup / benchmark fit</x:v>
      </x:c>
      <x:c r="D18" s="35"/>
      <x:c r="E18" s="35" t="str">
        <x:v>Ranged DPS</x:v>
      </x:c>
      <x:c r="F18" s="35" t="str">
        <x:v>Hydralisk</x:v>
      </x:c>
      <x:c r="G18" s="35"/>
    </x:row>
    <x:row r="19">
      <x:c r="A19" s="35" t="str">
        <x:v>FormationFactor</x:v>
      </x:c>
      <x:c r="B19" s="35" t="str">
        <x:v>0.85–1.10</x:v>
      </x:c>
      <x:c r="C19" s="35" t="str">
        <x:v>Collision / firing participation / terrain</x:v>
      </x:c>
      <x:c r="D19" s="35"/>
      <x:c r="E19" s="35" t="str">
        <x:v>Premium Anti-Armor</x:v>
      </x:c>
      <x:c r="F19" s="35" t="str">
        <x:v>Immortal</x:v>
      </x:c>
      <x:c r="G19" s="35"/>
    </x:row>
    <x:row r="20">
      <x:c r="A20" s="35" t="str">
        <x:v>ScenarioFactor</x:v>
      </x:c>
      <x:c r="B20" s="35" t="str">
        <x:v>0.85–1.15</x:v>
      </x:c>
      <x:c r="C20" s="35" t="str">
        <x:v>Target mix / terrain / matchup</x:v>
      </x:c>
      <x:c r="D20" s="35"/>
      <x:c r="E20" s="35" t="str">
        <x:v>Siege / AOE</x:v>
      </x:c>
      <x:c r="F20" s="35" t="str">
        <x:v>Siege Tank</x:v>
      </x:c>
      <x:c r="G20" s="35"/>
    </x:row>
    <x:row r="21">
      <x:c r="A21" s="35" t="str">
        <x:v>Skill Impact</x:v>
      </x:c>
      <x:c r="B21" s="35" t="str">
        <x:v>0–0.35</x:v>
      </x:c>
      <x:c r="C21" s="35" t="str">
        <x:v>Skill premium before uptime/counterplay</x:v>
      </x:c>
      <x:c r="D21" s="35"/>
      <x:c r="E21" s="35" t="str">
        <x:v>Premium AOE</x:v>
      </x:c>
      <x:c r="F21" s="35" t="str">
        <x:v>Colossus</x:v>
      </x:c>
      <x:c r="G21" s="35"/>
    </x:row>
    <x:row r="22">
      <x:c r="A22" s="35" t="str">
        <x:v>Skill Uptime</x:v>
      </x:c>
      <x:c r="B22" s="35" t="str">
        <x:v>0–1</x:v>
      </x:c>
      <x:c r="C22" s="35" t="str">
        <x:v>Average active fraction</x:v>
      </x:c>
      <x:c r="D22" s="35"/>
      <x:c r="E22" s="35"/>
      <x:c r="F22" s="35"/>
      <x:c r="G22" s="35"/>
    </x:row>
    <x:row r="23">
      <x:c r="A23" s="35" t="str">
        <x:v>Skill Counterplay</x:v>
      </x:c>
      <x:c r="B23" s="35" t="str">
        <x:v>0–1</x:v>
      </x:c>
      <x:c r="C23" s="35" t="str">
        <x:v>1 = easy to counter</x:v>
      </x:c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 t="str">
        <x:v>Utility</x:v>
      </x:c>
      <x:c r="B25" s="35" t="str">
        <x:v>0–0.20</x:v>
      </x:c>
      <x:c r="C25" s="35" t="str">
        <x:v>Non-skill utility premium</x:v>
      </x:c>
      <x:c r="D25" s="35"/>
      <x:c r="E25" s="35"/>
      <x:c r="F25" s="35"/>
      <x:c r="G25" s="35"/>
    </x:row>
    <x:row r="26">
      <x:c r="A26" s="35" t="str">
        <x:v>ProductionFactor</x:v>
      </x:c>
      <x:c r="B26" s="35" t="str">
        <x:v>0.90–1.10</x:v>
      </x:c>
      <x:c r="C26" s="35" t="str">
        <x:v>Throughput / tech friction</x:v>
      </x:c>
      <x:c r="D26" s="35"/>
      <x:c r="E26" s="35"/>
      <x:c r="F26" s="35"/>
      <x:c r="G26" s="35"/>
    </x:row>
    <x:row r="27">
      <x:c r="A27" s="35" t="str">
        <x:v>Balance target</x:v>
      </x:c>
      <x:c r="B27" s="35" t="str">
        <x:v>0.95–1.05</x:v>
      </x:c>
      <x:c r="C27" s="35" t="str">
        <x:v>Primary tuning band around 1.00</x:v>
      </x:c>
      <x:c r="D27" s="35"/>
      <x:c r="E27" s="35"/>
      <x:c r="F27" s="35"/>
      <x:c r="G27" s="3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3" hidden="0" customWidth="1"/>
    <x:col min="27" max="27" width="30" hidden="0" customWidth="1"/>
    <x:col min="28" max="28" width="10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2" hidden="0" customWidth="1"/>
    <x:col min="34" max="34" width="10" hidden="0" customWidth="1"/>
    <x:col min="35" max="35" width="11" hidden="0" customWidth="1"/>
    <x:col min="36" max="36" width="12" hidden="0" customWidth="1"/>
    <x:col min="37" max="37" width="14" hidden="0" customWidth="1"/>
  </x:cols>
  <x:sheetData>
    <x:row r="1">
      <x:c r="A1" s="65" t="str">
        <x:v>V3 Custom Commander Units — yellow/input, green/formula</x:v>
      </x:c>
    </x:row>
    <x:row r="3">
      <x:c r="A3" s="62" t="str">
        <x:v>Unit</x:v>
      </x:c>
      <x:c r="B3" s="62" t="str">
        <x:v>Archetype</x:v>
      </x:c>
      <x:c r="C3" s="62" t="str">
        <x:v>Primary Benchmark</x:v>
      </x:c>
      <x:c r="D3" s="62" t="str">
        <x:v>Secondary Benchmark</x:v>
      </x:c>
      <x:c r="E3" s="62" t="str">
        <x:v>Minerals</x:v>
      </x:c>
      <x:c r="F3" s="62" t="str">
        <x:v>Gas</x:v>
      </x:c>
      <x:c r="G3" s="62" t="str">
        <x:v>Supply</x:v>
      </x:c>
      <x:c r="H3" s="62" t="str">
        <x:v>Build s</x:v>
      </x:c>
      <x:c r="I3" s="62" t="str">
        <x:v>HP</x:v>
      </x:c>
      <x:c r="J3" s="62" t="str">
        <x:v>Shield</x:v>
      </x:c>
      <x:c r="K3" s="62" t="str">
        <x:v>Armor</x:v>
      </x:c>
      <x:c r="L3" s="62" t="str">
        <x:v>DPS G</x:v>
      </x:c>
      <x:c r="M3" s="62" t="str">
        <x:v>DPS A</x:v>
      </x:c>
      <x:c r="N3" s="62" t="str">
        <x:v>Range</x:v>
      </x:c>
      <x:c r="O3" s="62" t="str">
        <x:v>Speed</x:v>
      </x:c>
      <x:c r="P3" s="62" t="str">
        <x:v>Armored Bonus DPS</x:v>
      </x:c>
      <x:c r="Q3" s="62" t="str">
        <x:v>AOE Target Mult</x:v>
      </x:c>
      <x:c r="R3" s="62" t="str">
        <x:v>Collision Impact</x:v>
      </x:c>
      <x:c r="S3" s="62" t="str">
        <x:v>Skill Impact</x:v>
      </x:c>
      <x:c r="T3" s="62" t="str">
        <x:v>Skill Uptime</x:v>
      </x:c>
      <x:c r="U3" s="62" t="str">
        <x:v>Skill Counterplay</x:v>
      </x:c>
      <x:c r="V3" s="62" t="str">
        <x:v>RoleFit</x:v>
      </x:c>
      <x:c r="W3" s="62" t="str">
        <x:v>FormationFactor</x:v>
      </x:c>
      <x:c r="X3" s="62" t="str">
        <x:v>ScenarioFactor</x:v>
      </x:c>
      <x:c r="Y3" s="62" t="str">
        <x:v>Utility</x:v>
      </x:c>
      <x:c r="Z3" s="62" t="str">
        <x:v>ProductionFactor</x:v>
      </x:c>
      <x:c r="AA3" s="62" t="str">
        <x:v>Source</x:v>
      </x:c>
      <x:c r="AB3" s="62" t="str">
        <x:v>EHP</x:v>
      </x:c>
      <x:c r="AC3" s="62" t="str">
        <x:v>StaticScore</x:v>
      </x:c>
      <x:c r="AD3" s="62" t="str">
        <x:v>SkillFactor</x:v>
      </x:c>
      <x:c r="AE3" s="62" t="str">
        <x:v>CombatValue</x:v>
      </x:c>
      <x:c r="AF3" s="62" t="str">
        <x:v>ScalarCost</x:v>
      </x:c>
      <x:c r="AG3" s="62" t="str">
        <x:v>BenchmarkCost</x:v>
      </x:c>
      <x:c r="AH3" s="62" t="str">
        <x:v>CostRatio</x:v>
      </x:c>
      <x:c r="AI3" s="62" t="str">
        <x:v>BalanceScore</x:v>
      </x:c>
      <x:c r="AJ3" s="62" t="str">
        <x:v>Status</x:v>
      </x:c>
      <x:c r="AK3" s="62" t="str">
        <x:v>Primary Lever</x:v>
      </x:c>
    </x:row>
    <x:row r="4">
      <x:c r="A4" s="75" t="str">
        <x:v>Example Custom Heavy</x:v>
      </x:c>
      <x:c r="B4" s="75" t="str">
        <x:v>Durable Assault</x:v>
      </x:c>
      <x:c r="C4" s="75" t="str">
        <x:v>Roach</x:v>
      </x:c>
      <x:c r="D4" s="75" t="str">
        <x:v>Marauder</x:v>
      </x:c>
      <x:c r="E4" s="75" t="n">
        <x:v>90</x:v>
      </x:c>
      <x:c r="F4" s="75" t="n">
        <x:v>35</x:v>
      </x:c>
      <x:c r="G4" s="75" t="n">
        <x:v>2</x:v>
      </x:c>
      <x:c r="H4" s="75" t="n">
        <x:v>24</x:v>
      </x:c>
      <x:c r="I4" s="75" t="n">
        <x:v>165</x:v>
      </x:c>
      <x:c r="J4" s="75" t="n">
        <x:v>0</x:v>
      </x:c>
      <x:c r="K4" s="75" t="n">
        <x:v>1</x:v>
      </x:c>
      <x:c r="L4" s="75" t="n">
        <x:v>13</x:v>
      </x:c>
      <x:c r="M4" s="75" t="n">
        <x:v>0</x:v>
      </x:c>
      <x:c r="N4" s="75" t="n">
        <x:v>5</x:v>
      </x:c>
      <x:c r="O4" s="75" t="n">
        <x:v>3.15</x:v>
      </x:c>
      <x:c r="P4" s="75" t="n">
        <x:v>6</x:v>
      </x:c>
      <x:c r="Q4" s="75" t="n">
        <x:v>1</x:v>
      </x:c>
      <x:c r="R4" s="75" t="n">
        <x:v>0.28</x:v>
      </x:c>
      <x:c r="S4" s="75" t="n">
        <x:v>0.1</x:v>
      </x:c>
      <x:c r="T4" s="75" t="n">
        <x:v>0.7</x:v>
      </x:c>
      <x:c r="U4" s="75" t="n">
        <x:v>0.2</x:v>
      </x:c>
      <x:c r="V4" s="75" t="n">
        <x:v>1</x:v>
      </x:c>
      <x:c r="W4" s="75" t="n">
        <x:v>0.98</x:v>
      </x:c>
      <x:c r="X4" s="75" t="n">
        <x:v>1.02</x:v>
      </x:c>
      <x:c r="Y4" s="75" t="n">
        <x:v>0.03</x:v>
      </x:c>
      <x:c r="Z4" s="75" t="n">
        <x:v>1</x:v>
      </x:c>
      <x:c r="AA4" s="75" t="str">
        <x:v>Example / replace with source</x:v>
      </x:c>
      <x:c r="AB4" s="77" t="n">
        <x:f>I4+J4*(1+K4)</x:f>
        <x:v>165</x:v>
      </x:c>
      <x:c r="AC4" s="78" t="n">
        <x:f>0.15*(AB4/MAX(0.01,VLOOKUP(C4,V2_Units!$A$4:$AH$13,23,FALSE)))+0.20*(L4/MAX(0.01,VLOOKUP(C4,V2_Units!$A$4:$AH$13,11,FALSE)))+0.05*(M4/MAX(0.01,VLOOKUP(C4,V2_Units!$A$4:$AH$13,12,FALSE)))+0.08*(N4/MAX(0.01,VLOOKUP(C4,V2_Units!$A$4:$AH$13,13,FALSE)))+0.07*((K4+1)/(VLOOKUP(C4,V2_Units!$A$4:$AH$13,10,FALSE)+1))+0.07*(O4/MAX(0.01,VLOOKUP(C4,V2_Units!$A$4:$AH$13,14,FALSE)))+0.10*((L4+P4)/MAX(0.01,VLOOKUP(C4,V2_Units!$A$4:$AH$13,11,FALSE)+VLOOKUP(C4,V2_Units!$A$4:$AH$13,15,FALSE)))+0.08*V4+0.05*(1+Y4)+0.15*(1+S4)</x:f>
        <x:v>1.1089753694581281</x:v>
      </x:c>
      <x:c r="AD4" s="78" t="n">
        <x:f>1+S4*T4*(1-U4)</x:f>
        <x:v>1.056</x:v>
      </x:c>
      <x:c r="AE4" s="78" t="n">
        <x:f>AC4*AD4*V4*W4*X4*Z4</x:f>
        <x:v>1.1706095589517242</x:v>
      </x:c>
      <x:c r="AF4" s="78" t="n">
        <x:f>E4*V3_Parameters!$F$4+F4*V3_Parameters!$F$5+G4*V3_Parameters!$F$6+H4*V3_Parameters!$F$7</x:f>
        <x:v>156</x:v>
      </x:c>
      <x:c r="AG4" s="78" t="n">
        <x:f>VLOOKUP(C4,V2_Units!$A$4:$AH$13,4,FALSE)*V3_Parameters!$F$4+VLOOKUP(C4,V2_Units!$A$4:$AH$13,5,FALSE)*V3_Parameters!$F$5+VLOOKUP(C4,V2_Units!$A$4:$AH$13,6,FALSE)*V3_Parameters!$F$6+VLOOKUP(C4,V2_Units!$A$4:$AH$13,7,FALSE)*V3_Parameters!$F$7</x:f>
        <x:v>123.5</x:v>
      </x:c>
      <x:c r="AH4" s="78" t="n">
        <x:f>AF4/MAX(0.01,AG4)</x:f>
        <x:v>1.263157894736842</x:v>
      </x:c>
      <x:c r="AI4" s="78" t="n">
        <x:f>AE4/MAX(0.01,AH4)</x:f>
        <x:v>0.9267325675034485</x:v>
      </x:c>
      <x:c r="AJ4" s="77" t="str">
        <x:f>IF(AI4&lt;V3_Parameters!$F$8,"UNDER",IF(AI4&gt;V3_Parameters!$F$9,"OVER","OK"))</x:f>
        <x:v>OK</x:v>
      </x:c>
      <x:c r="AK4" s="77" t="str">
        <x:f>IF(S4*T4*(1-U4)&gt;0.08,"SKILL",IF(L4/MAX(0.01,VLOOKUP(C4,V2_Units!$A$4:$AH$13,11,FALSE))&gt;1.08,"DPS","COST"))</x:f>
        <x:v>DPS</x:v>
      </x:c>
    </x:row>
    <x:row r="5">
      <x:c r="A5" s="75" t="str">
        <x:v>Custom Unit 2</x:v>
      </x:c>
      <x:c r="B5" s="75" t="str">
        <x:v>General DPS</x:v>
      </x:c>
      <x:c r="C5" s="75" t="str">
        <x:v>Marine</x:v>
      </x:c>
      <x:c r="D5" s="75" t="str">
        <x:v>Zealot</x:v>
      </x:c>
      <x:c r="E5" s="75" t="n">
        <x:v>50</x:v>
      </x:c>
      <x:c r="F5" s="75" t="n">
        <x:v>0</x:v>
      </x:c>
      <x:c r="G5" s="75" t="n">
        <x:v>1</x:v>
      </x:c>
      <x:c r="H5" s="75" t="n">
        <x:v>18</x:v>
      </x:c>
      <x:c r="I5" s="75" t="n">
        <x:v>45</x:v>
      </x:c>
      <x:c r="J5" s="75" t="n">
        <x:v>0</x:v>
      </x:c>
      <x:c r="K5" s="75" t="n">
        <x:v>0</x:v>
      </x:c>
      <x:c r="L5" s="75" t="n">
        <x:v>9.8</x:v>
      </x:c>
      <x:c r="M5" s="75" t="n">
        <x:v>9.8</x:v>
      </x:c>
      <x:c r="N5" s="75" t="n">
        <x:v>5</x:v>
      </x:c>
      <x:c r="O5" s="75" t="n">
        <x:v>3.15</x:v>
      </x:c>
      <x:c r="P5" s="75" t="n">
        <x:v>0</x:v>
      </x:c>
      <x:c r="Q5" s="75" t="n">
        <x:v>1</x:v>
      </x:c>
      <x:c r="R5" s="75" t="n">
        <x:v>0.18</x:v>
      </x:c>
      <x:c r="S5" s="75" t="n">
        <x:v>0</x:v>
      </x:c>
      <x:c r="T5" s="75" t="n">
        <x:v>0</x:v>
      </x:c>
      <x:c r="U5" s="75" t="n">
        <x:v>0</x:v>
      </x:c>
      <x:c r="V5" s="75" t="n">
        <x:v>1</x:v>
      </x:c>
      <x:c r="W5" s="75" t="n">
        <x:v>1</x:v>
      </x:c>
      <x:c r="X5" s="75" t="n">
        <x:v>1</x:v>
      </x:c>
      <x:c r="Y5" s="75" t="n">
        <x:v>0</x:v>
      </x:c>
      <x:c r="Z5" s="75" t="n">
        <x:v>1</x:v>
      </x:c>
      <x:c r="AA5" s="75" t="str"/>
      <x:c r="AB5" s="77" t="n">
        <x:f>I5+J5*(1+K5)</x:f>
        <x:v>45</x:v>
      </x:c>
      <x:c r="AC5" s="78" t="n">
        <x:f>0.15*(AB5/MAX(0.01,VLOOKUP(C5,V2_Units!$A$4:$AH$13,23,FALSE)))+0.20*(L5/MAX(0.01,VLOOKUP(C5,V2_Units!$A$4:$AH$13,11,FALSE)))+0.05*(M5/MAX(0.01,VLOOKUP(C5,V2_Units!$A$4:$AH$13,12,FALSE)))+0.08*(N5/MAX(0.01,VLOOKUP(C5,V2_Units!$A$4:$AH$13,13,FALSE)))+0.07*((K5+1)/(VLOOKUP(C5,V2_Units!$A$4:$AH$13,10,FALSE)+1))+0.07*(O5/MAX(0.01,VLOOKUP(C5,V2_Units!$A$4:$AH$13,14,FALSE)))+0.10*((L5+P5)/MAX(0.01,VLOOKUP(C5,V2_Units!$A$4:$AH$13,11,FALSE)+VLOOKUP(C5,V2_Units!$A$4:$AH$13,15,FALSE)))+0.08*V5+0.05*(1+Y5)+0.15*(1+S5)</x:f>
        <x:v>1</x:v>
      </x:c>
      <x:c r="AD5" s="78" t="n">
        <x:f>1+S5*T5*(1-U5)</x:f>
        <x:v>1</x:v>
      </x:c>
      <x:c r="AE5" s="78" t="n">
        <x:f>AC5*AD5*V5*W5*X5*Z5</x:f>
        <x:v>1</x:v>
      </x:c>
      <x:c r="AF5" s="78" t="n">
        <x:f>E5*V3_Parameters!$F$4+F5*V3_Parameters!$F$5+G5*V3_Parameters!$F$6+H5*V3_Parameters!$F$7</x:f>
        <x:v>59.75</x:v>
      </x:c>
      <x:c r="AG5" s="78" t="n">
        <x:f>VLOOKUP(C5,V2_Units!$A$4:$AH$13,4,FALSE)*V3_Parameters!$F$4+VLOOKUP(C5,V2_Units!$A$4:$AH$13,5,FALSE)*V3_Parameters!$F$5+VLOOKUP(C5,V2_Units!$A$4:$AH$13,6,FALSE)*V3_Parameters!$F$6+VLOOKUP(C5,V2_Units!$A$4:$AH$13,7,FALSE)*V3_Parameters!$F$7</x:f>
        <x:v>59.75</x:v>
      </x:c>
      <x:c r="AH5" s="78" t="n">
        <x:f>AF5/MAX(0.01,AG5)</x:f>
        <x:v>1</x:v>
      </x:c>
      <x:c r="AI5" s="78" t="n">
        <x:f>AE5/MAX(0.01,AH5)</x:f>
        <x:v>1</x:v>
      </x:c>
      <x:c r="AJ5" s="77" t="str">
        <x:f>IF(AI5&lt;V3_Parameters!$F$8,"UNDER",IF(AI5&gt;V3_Parameters!$F$9,"OVER","OK"))</x:f>
        <x:v>OK</x:v>
      </x:c>
      <x:c r="AK5" s="77" t="str">
        <x:f>IF(S5*T5*(1-U5)&gt;0.08,"SKILL",IF(L5/MAX(0.01,VLOOKUP(C5,V2_Units!$A$4:$AH$13,11,FALSE))&gt;1.08,"DPS","COST"))</x:f>
        <x:v>COST</x:v>
      </x:c>
    </x:row>
    <x:row r="6">
      <x:c r="A6" s="75" t="str">
        <x:v>Custom Unit 3</x:v>
      </x:c>
      <x:c r="B6" s="75" t="str">
        <x:v>General DPS</x:v>
      </x:c>
      <x:c r="C6" s="75" t="str">
        <x:v>Marine</x:v>
      </x:c>
      <x:c r="D6" s="75" t="str">
        <x:v>Zealot</x:v>
      </x:c>
      <x:c r="E6" s="75" t="n">
        <x:v>50</x:v>
      </x:c>
      <x:c r="F6" s="75" t="n">
        <x:v>0</x:v>
      </x:c>
      <x:c r="G6" s="75" t="n">
        <x:v>1</x:v>
      </x:c>
      <x:c r="H6" s="75" t="n">
        <x:v>18</x:v>
      </x:c>
      <x:c r="I6" s="75" t="n">
        <x:v>45</x:v>
      </x:c>
      <x:c r="J6" s="75" t="n">
        <x:v>0</x:v>
      </x:c>
      <x:c r="K6" s="75" t="n">
        <x:v>0</x:v>
      </x:c>
      <x:c r="L6" s="75" t="n">
        <x:v>9.8</x:v>
      </x:c>
      <x:c r="M6" s="75" t="n">
        <x:v>9.8</x:v>
      </x:c>
      <x:c r="N6" s="75" t="n">
        <x:v>5</x:v>
      </x:c>
      <x:c r="O6" s="75" t="n">
        <x:v>3.15</x:v>
      </x:c>
      <x:c r="P6" s="75" t="n">
        <x:v>0</x:v>
      </x:c>
      <x:c r="Q6" s="75" t="n">
        <x:v>1</x:v>
      </x:c>
      <x:c r="R6" s="75" t="n">
        <x:v>0.18</x:v>
      </x:c>
      <x:c r="S6" s="75" t="n">
        <x:v>0</x:v>
      </x:c>
      <x:c r="T6" s="75" t="n">
        <x:v>0</x:v>
      </x:c>
      <x:c r="U6" s="75" t="n">
        <x:v>0</x:v>
      </x:c>
      <x:c r="V6" s="75" t="n">
        <x:v>1</x:v>
      </x:c>
      <x:c r="W6" s="75" t="n">
        <x:v>1</x:v>
      </x:c>
      <x:c r="X6" s="75" t="n">
        <x:v>1</x:v>
      </x:c>
      <x:c r="Y6" s="75" t="n">
        <x:v>0</x:v>
      </x:c>
      <x:c r="Z6" s="75" t="n">
        <x:v>1</x:v>
      </x:c>
      <x:c r="AA6" s="75" t="str"/>
      <x:c r="AB6" s="77" t="n">
        <x:f>I6+J6*(1+K6)</x:f>
        <x:v>45</x:v>
      </x:c>
      <x:c r="AC6" s="78" t="n">
        <x:f>0.15*(AB6/MAX(0.01,VLOOKUP(C6,V2_Units!$A$4:$AH$13,23,FALSE)))+0.20*(L6/MAX(0.01,VLOOKUP(C6,V2_Units!$A$4:$AH$13,11,FALSE)))+0.05*(M6/MAX(0.01,VLOOKUP(C6,V2_Units!$A$4:$AH$13,12,FALSE)))+0.08*(N6/MAX(0.01,VLOOKUP(C6,V2_Units!$A$4:$AH$13,13,FALSE)))+0.07*((K6+1)/(VLOOKUP(C6,V2_Units!$A$4:$AH$13,10,FALSE)+1))+0.07*(O6/MAX(0.01,VLOOKUP(C6,V2_Units!$A$4:$AH$13,14,FALSE)))+0.10*((L6+P6)/MAX(0.01,VLOOKUP(C6,V2_Units!$A$4:$AH$13,11,FALSE)+VLOOKUP(C6,V2_Units!$A$4:$AH$13,15,FALSE)))+0.08*V6+0.05*(1+Y6)+0.15*(1+S6)</x:f>
        <x:v>1</x:v>
      </x:c>
      <x:c r="AD6" s="78" t="n">
        <x:f>1+S6*T6*(1-U6)</x:f>
        <x:v>1</x:v>
      </x:c>
      <x:c r="AE6" s="78" t="n">
        <x:f>AC6*AD6*V6*W6*X6*Z6</x:f>
        <x:v>1</x:v>
      </x:c>
      <x:c r="AF6" s="78" t="n">
        <x:f>E6*V3_Parameters!$F$4+F6*V3_Parameters!$F$5+G6*V3_Parameters!$F$6+H6*V3_Parameters!$F$7</x:f>
        <x:v>59.75</x:v>
      </x:c>
      <x:c r="AG6" s="78" t="n">
        <x:f>VLOOKUP(C6,V2_Units!$A$4:$AH$13,4,FALSE)*V3_Parameters!$F$4+VLOOKUP(C6,V2_Units!$A$4:$AH$13,5,FALSE)*V3_Parameters!$F$5+VLOOKUP(C6,V2_Units!$A$4:$AH$13,6,FALSE)*V3_Parameters!$F$6+VLOOKUP(C6,V2_Units!$A$4:$AH$13,7,FALSE)*V3_Parameters!$F$7</x:f>
        <x:v>59.75</x:v>
      </x:c>
      <x:c r="AH6" s="78" t="n">
        <x:f>AF6/MAX(0.01,AG6)</x:f>
        <x:v>1</x:v>
      </x:c>
      <x:c r="AI6" s="78" t="n">
        <x:f>AE6/MAX(0.01,AH6)</x:f>
        <x:v>1</x:v>
      </x:c>
      <x:c r="AJ6" s="77" t="str">
        <x:f>IF(AI6&lt;V3_Parameters!$F$8,"UNDER",IF(AI6&gt;V3_Parameters!$F$9,"OVER","OK"))</x:f>
        <x:v>OK</x:v>
      </x:c>
      <x:c r="AK6" s="77" t="str">
        <x:f>IF(S6*T6*(1-U6)&gt;0.08,"SKILL",IF(L6/MAX(0.01,VLOOKUP(C6,V2_Units!$A$4:$AH$13,11,FALSE))&gt;1.08,"DPS","COST"))</x:f>
        <x:v>COST</x:v>
      </x:c>
    </x:row>
    <x:row r="7">
      <x:c r="A7" s="75" t="str">
        <x:v>Custom Unit 4</x:v>
      </x:c>
      <x:c r="B7" s="75" t="str">
        <x:v>General DPS</x:v>
      </x:c>
      <x:c r="C7" s="75" t="str">
        <x:v>Marine</x:v>
      </x:c>
      <x:c r="D7" s="75" t="str">
        <x:v>Zealot</x:v>
      </x:c>
      <x:c r="E7" s="75" t="n">
        <x:v>50</x:v>
      </x:c>
      <x:c r="F7" s="75" t="n">
        <x:v>0</x:v>
      </x:c>
      <x:c r="G7" s="75" t="n">
        <x:v>1</x:v>
      </x:c>
      <x:c r="H7" s="75" t="n">
        <x:v>18</x:v>
      </x:c>
      <x:c r="I7" s="75" t="n">
        <x:v>45</x:v>
      </x:c>
      <x:c r="J7" s="75" t="n">
        <x:v>0</x:v>
      </x:c>
      <x:c r="K7" s="75" t="n">
        <x:v>0</x:v>
      </x:c>
      <x:c r="L7" s="75" t="n">
        <x:v>9.8</x:v>
      </x:c>
      <x:c r="M7" s="75" t="n">
        <x:v>9.8</x:v>
      </x:c>
      <x:c r="N7" s="75" t="n">
        <x:v>5</x:v>
      </x:c>
      <x:c r="O7" s="75" t="n">
        <x:v>3.15</x:v>
      </x:c>
      <x:c r="P7" s="75" t="n">
        <x:v>0</x:v>
      </x:c>
      <x:c r="Q7" s="75" t="n">
        <x:v>1</x:v>
      </x:c>
      <x:c r="R7" s="75" t="n">
        <x:v>0.18</x:v>
      </x:c>
      <x:c r="S7" s="75" t="n">
        <x:v>0</x:v>
      </x:c>
      <x:c r="T7" s="75" t="n">
        <x:v>0</x:v>
      </x:c>
      <x:c r="U7" s="75" t="n">
        <x:v>0</x:v>
      </x:c>
      <x:c r="V7" s="75" t="n">
        <x:v>1</x:v>
      </x:c>
      <x:c r="W7" s="75" t="n">
        <x:v>1</x:v>
      </x:c>
      <x:c r="X7" s="75" t="n">
        <x:v>1</x:v>
      </x:c>
      <x:c r="Y7" s="75" t="n">
        <x:v>0</x:v>
      </x:c>
      <x:c r="Z7" s="75" t="n">
        <x:v>1</x:v>
      </x:c>
      <x:c r="AA7" s="75" t="str"/>
      <x:c r="AB7" s="77" t="n">
        <x:f>I7+J7*(1+K7)</x:f>
        <x:v>45</x:v>
      </x:c>
      <x:c r="AC7" s="78" t="n">
        <x:f>0.15*(AB7/MAX(0.01,VLOOKUP(C7,V2_Units!$A$4:$AH$13,23,FALSE)))+0.20*(L7/MAX(0.01,VLOOKUP(C7,V2_Units!$A$4:$AH$13,11,FALSE)))+0.05*(M7/MAX(0.01,VLOOKUP(C7,V2_Units!$A$4:$AH$13,12,FALSE)))+0.08*(N7/MAX(0.01,VLOOKUP(C7,V2_Units!$A$4:$AH$13,13,FALSE)))+0.07*((K7+1)/(VLOOKUP(C7,V2_Units!$A$4:$AH$13,10,FALSE)+1))+0.07*(O7/MAX(0.01,VLOOKUP(C7,V2_Units!$A$4:$AH$13,14,FALSE)))+0.10*((L7+P7)/MAX(0.01,VLOOKUP(C7,V2_Units!$A$4:$AH$13,11,FALSE)+VLOOKUP(C7,V2_Units!$A$4:$AH$13,15,FALSE)))+0.08*V7+0.05*(1+Y7)+0.15*(1+S7)</x:f>
        <x:v>1</x:v>
      </x:c>
      <x:c r="AD7" s="78" t="n">
        <x:f>1+S7*T7*(1-U7)</x:f>
        <x:v>1</x:v>
      </x:c>
      <x:c r="AE7" s="78" t="n">
        <x:f>AC7*AD7*V7*W7*X7*Z7</x:f>
        <x:v>1</x:v>
      </x:c>
      <x:c r="AF7" s="78" t="n">
        <x:f>E7*V3_Parameters!$F$4+F7*V3_Parameters!$F$5+G7*V3_Parameters!$F$6+H7*V3_Parameters!$F$7</x:f>
        <x:v>59.75</x:v>
      </x:c>
      <x:c r="AG7" s="78" t="n">
        <x:f>VLOOKUP(C7,V2_Units!$A$4:$AH$13,4,FALSE)*V3_Parameters!$F$4+VLOOKUP(C7,V2_Units!$A$4:$AH$13,5,FALSE)*V3_Parameters!$F$5+VLOOKUP(C7,V2_Units!$A$4:$AH$13,6,FALSE)*V3_Parameters!$F$6+VLOOKUP(C7,V2_Units!$A$4:$AH$13,7,FALSE)*V3_Parameters!$F$7</x:f>
        <x:v>59.75</x:v>
      </x:c>
      <x:c r="AH7" s="78" t="n">
        <x:f>AF7/MAX(0.01,AG7)</x:f>
        <x:v>1</x:v>
      </x:c>
      <x:c r="AI7" s="78" t="n">
        <x:f>AE7/MAX(0.01,AH7)</x:f>
        <x:v>1</x:v>
      </x:c>
      <x:c r="AJ7" s="77" t="str">
        <x:f>IF(AI7&lt;V3_Parameters!$F$8,"UNDER",IF(AI7&gt;V3_Parameters!$F$9,"OVER","OK"))</x:f>
        <x:v>OK</x:v>
      </x:c>
      <x:c r="AK7" s="77" t="str">
        <x:f>IF(S7*T7*(1-U7)&gt;0.08,"SKILL",IF(L7/MAX(0.01,VLOOKUP(C7,V2_Units!$A$4:$AH$13,11,FALSE))&gt;1.08,"DPS","COST"))</x:f>
        <x:v>COST</x:v>
      </x:c>
    </x:row>
    <x:row r="8">
      <x:c r="A8" s="75" t="str">
        <x:v>Custom Unit 5</x:v>
      </x:c>
      <x:c r="B8" s="75" t="str">
        <x:v>General DPS</x:v>
      </x:c>
      <x:c r="C8" s="75" t="str">
        <x:v>Marine</x:v>
      </x:c>
      <x:c r="D8" s="75" t="str">
        <x:v>Zealot</x:v>
      </x:c>
      <x:c r="E8" s="75" t="n">
        <x:v>50</x:v>
      </x:c>
      <x:c r="F8" s="75" t="n">
        <x:v>0</x:v>
      </x:c>
      <x:c r="G8" s="75" t="n">
        <x:v>1</x:v>
      </x:c>
      <x:c r="H8" s="75" t="n">
        <x:v>18</x:v>
      </x:c>
      <x:c r="I8" s="75" t="n">
        <x:v>45</x:v>
      </x:c>
      <x:c r="J8" s="75" t="n">
        <x:v>0</x:v>
      </x:c>
      <x:c r="K8" s="75" t="n">
        <x:v>0</x:v>
      </x:c>
      <x:c r="L8" s="75" t="n">
        <x:v>9.8</x:v>
      </x:c>
      <x:c r="M8" s="75" t="n">
        <x:v>9.8</x:v>
      </x:c>
      <x:c r="N8" s="75" t="n">
        <x:v>5</x:v>
      </x:c>
      <x:c r="O8" s="75" t="n">
        <x:v>3.15</x:v>
      </x:c>
      <x:c r="P8" s="75" t="n">
        <x:v>0</x:v>
      </x:c>
      <x:c r="Q8" s="75" t="n">
        <x:v>1</x:v>
      </x:c>
      <x:c r="R8" s="75" t="n">
        <x:v>0.18</x:v>
      </x:c>
      <x:c r="S8" s="75" t="n">
        <x:v>0</x:v>
      </x:c>
      <x:c r="T8" s="75" t="n">
        <x:v>0</x:v>
      </x:c>
      <x:c r="U8" s="75" t="n">
        <x:v>0</x:v>
      </x:c>
      <x:c r="V8" s="75" t="n">
        <x:v>1</x:v>
      </x:c>
      <x:c r="W8" s="75" t="n">
        <x:v>1</x:v>
      </x:c>
      <x:c r="X8" s="75" t="n">
        <x:v>1</x:v>
      </x:c>
      <x:c r="Y8" s="75" t="n">
        <x:v>0</x:v>
      </x:c>
      <x:c r="Z8" s="75" t="n">
        <x:v>1</x:v>
      </x:c>
      <x:c r="AA8" s="75" t="str"/>
      <x:c r="AB8" s="77" t="n">
        <x:f>I8+J8*(1+K8)</x:f>
        <x:v>45</x:v>
      </x:c>
      <x:c r="AC8" s="78" t="n">
        <x:f>0.15*(AB8/MAX(0.01,VLOOKUP(C8,V2_Units!$A$4:$AH$13,23,FALSE)))+0.20*(L8/MAX(0.01,VLOOKUP(C8,V2_Units!$A$4:$AH$13,11,FALSE)))+0.05*(M8/MAX(0.01,VLOOKUP(C8,V2_Units!$A$4:$AH$13,12,FALSE)))+0.08*(N8/MAX(0.01,VLOOKUP(C8,V2_Units!$A$4:$AH$13,13,FALSE)))+0.07*((K8+1)/(VLOOKUP(C8,V2_Units!$A$4:$AH$13,10,FALSE)+1))+0.07*(O8/MAX(0.01,VLOOKUP(C8,V2_Units!$A$4:$AH$13,14,FALSE)))+0.10*((L8+P8)/MAX(0.01,VLOOKUP(C8,V2_Units!$A$4:$AH$13,11,FALSE)+VLOOKUP(C8,V2_Units!$A$4:$AH$13,15,FALSE)))+0.08*V8+0.05*(1+Y8)+0.15*(1+S8)</x:f>
        <x:v>1</x:v>
      </x:c>
      <x:c r="AD8" s="78" t="n">
        <x:f>1+S8*T8*(1-U8)</x:f>
        <x:v>1</x:v>
      </x:c>
      <x:c r="AE8" s="78" t="n">
        <x:f>AC8*AD8*V8*W8*X8*Z8</x:f>
        <x:v>1</x:v>
      </x:c>
      <x:c r="AF8" s="78" t="n">
        <x:f>E8*V3_Parameters!$F$4+F8*V3_Parameters!$F$5+G8*V3_Parameters!$F$6+H8*V3_Parameters!$F$7</x:f>
        <x:v>59.75</x:v>
      </x:c>
      <x:c r="AG8" s="78" t="n">
        <x:f>VLOOKUP(C8,V2_Units!$A$4:$AH$13,4,FALSE)*V3_Parameters!$F$4+VLOOKUP(C8,V2_Units!$A$4:$AH$13,5,FALSE)*V3_Parameters!$F$5+VLOOKUP(C8,V2_Units!$A$4:$AH$13,6,FALSE)*V3_Parameters!$F$6+VLOOKUP(C8,V2_Units!$A$4:$AH$13,7,FALSE)*V3_Parameters!$F$7</x:f>
        <x:v>59.75</x:v>
      </x:c>
      <x:c r="AH8" s="78" t="n">
        <x:f>AF8/MAX(0.01,AG8)</x:f>
        <x:v>1</x:v>
      </x:c>
      <x:c r="AI8" s="78" t="n">
        <x:f>AE8/MAX(0.01,AH8)</x:f>
        <x:v>1</x:v>
      </x:c>
      <x:c r="AJ8" s="77" t="str">
        <x:f>IF(AI8&lt;V3_Parameters!$F$8,"UNDER",IF(AI8&gt;V3_Parameters!$F$9,"OVER","OK"))</x:f>
        <x:v>OK</x:v>
      </x:c>
      <x:c r="AK8" s="77" t="str">
        <x:f>IF(S8*T8*(1-U8)&gt;0.08,"SKILL",IF(L8/MAX(0.01,VLOOKUP(C8,V2_Units!$A$4:$AH$13,11,FALSE))&gt;1.08,"DPS","COST"))</x:f>
        <x:v>COST</x:v>
      </x:c>
    </x:row>
    <x:row r="9">
      <x:c r="A9" s="75" t="str">
        <x:v>Custom Unit 6</x:v>
      </x:c>
      <x:c r="B9" s="75" t="str">
        <x:v>General DPS</x:v>
      </x:c>
      <x:c r="C9" s="75" t="str">
        <x:v>Marine</x:v>
      </x:c>
      <x:c r="D9" s="75" t="str">
        <x:v>Zealot</x:v>
      </x:c>
      <x:c r="E9" s="75" t="n">
        <x:v>50</x:v>
      </x:c>
      <x:c r="F9" s="75" t="n">
        <x:v>0</x:v>
      </x:c>
      <x:c r="G9" s="75" t="n">
        <x:v>1</x:v>
      </x:c>
      <x:c r="H9" s="75" t="n">
        <x:v>18</x:v>
      </x:c>
      <x:c r="I9" s="75" t="n">
        <x:v>45</x:v>
      </x:c>
      <x:c r="J9" s="75" t="n">
        <x:v>0</x:v>
      </x:c>
      <x:c r="K9" s="75" t="n">
        <x:v>0</x:v>
      </x:c>
      <x:c r="L9" s="75" t="n">
        <x:v>9.8</x:v>
      </x:c>
      <x:c r="M9" s="75" t="n">
        <x:v>9.8</x:v>
      </x:c>
      <x:c r="N9" s="75" t="n">
        <x:v>5</x:v>
      </x:c>
      <x:c r="O9" s="75" t="n">
        <x:v>3.15</x:v>
      </x:c>
      <x:c r="P9" s="75" t="n">
        <x:v>0</x:v>
      </x:c>
      <x:c r="Q9" s="75" t="n">
        <x:v>1</x:v>
      </x:c>
      <x:c r="R9" s="75" t="n">
        <x:v>0.18</x:v>
      </x:c>
      <x:c r="S9" s="75" t="n">
        <x:v>0</x:v>
      </x:c>
      <x:c r="T9" s="75" t="n">
        <x:v>0</x:v>
      </x:c>
      <x:c r="U9" s="75" t="n">
        <x:v>0</x:v>
      </x:c>
      <x:c r="V9" s="75" t="n">
        <x:v>1</x:v>
      </x:c>
      <x:c r="W9" s="75" t="n">
        <x:v>1</x:v>
      </x:c>
      <x:c r="X9" s="75" t="n">
        <x:v>1</x:v>
      </x:c>
      <x:c r="Y9" s="75" t="n">
        <x:v>0</x:v>
      </x:c>
      <x:c r="Z9" s="75" t="n">
        <x:v>1</x:v>
      </x:c>
      <x:c r="AA9" s="75" t="str"/>
      <x:c r="AB9" s="77" t="n">
        <x:f>I9+J9*(1+K9)</x:f>
        <x:v>45</x:v>
      </x:c>
      <x:c r="AC9" s="78" t="n">
        <x:f>0.15*(AB9/MAX(0.01,VLOOKUP(C9,V2_Units!$A$4:$AH$13,23,FALSE)))+0.20*(L9/MAX(0.01,VLOOKUP(C9,V2_Units!$A$4:$AH$13,11,FALSE)))+0.05*(M9/MAX(0.01,VLOOKUP(C9,V2_Units!$A$4:$AH$13,12,FALSE)))+0.08*(N9/MAX(0.01,VLOOKUP(C9,V2_Units!$A$4:$AH$13,13,FALSE)))+0.07*((K9+1)/(VLOOKUP(C9,V2_Units!$A$4:$AH$13,10,FALSE)+1))+0.07*(O9/MAX(0.01,VLOOKUP(C9,V2_Units!$A$4:$AH$13,14,FALSE)))+0.10*((L9+P9)/MAX(0.01,VLOOKUP(C9,V2_Units!$A$4:$AH$13,11,FALSE)+VLOOKUP(C9,V2_Units!$A$4:$AH$13,15,FALSE)))+0.08*V9+0.05*(1+Y9)+0.15*(1+S9)</x:f>
        <x:v>1</x:v>
      </x:c>
      <x:c r="AD9" s="78" t="n">
        <x:f>1+S9*T9*(1-U9)</x:f>
        <x:v>1</x:v>
      </x:c>
      <x:c r="AE9" s="78" t="n">
        <x:f>AC9*AD9*V9*W9*X9*Z9</x:f>
        <x:v>1</x:v>
      </x:c>
      <x:c r="AF9" s="78" t="n">
        <x:f>E9*V3_Parameters!$F$4+F9*V3_Parameters!$F$5+G9*V3_Parameters!$F$6+H9*V3_Parameters!$F$7</x:f>
        <x:v>59.75</x:v>
      </x:c>
      <x:c r="AG9" s="78" t="n">
        <x:f>VLOOKUP(C9,V2_Units!$A$4:$AH$13,4,FALSE)*V3_Parameters!$F$4+VLOOKUP(C9,V2_Units!$A$4:$AH$13,5,FALSE)*V3_Parameters!$F$5+VLOOKUP(C9,V2_Units!$A$4:$AH$13,6,FALSE)*V3_Parameters!$F$6+VLOOKUP(C9,V2_Units!$A$4:$AH$13,7,FALSE)*V3_Parameters!$F$7</x:f>
        <x:v>59.75</x:v>
      </x:c>
      <x:c r="AH9" s="78" t="n">
        <x:f>AF9/MAX(0.01,AG9)</x:f>
        <x:v>1</x:v>
      </x:c>
      <x:c r="AI9" s="78" t="n">
        <x:f>AE9/MAX(0.01,AH9)</x:f>
        <x:v>1</x:v>
      </x:c>
      <x:c r="AJ9" s="77" t="str">
        <x:f>IF(AI9&lt;V3_Parameters!$F$8,"UNDER",IF(AI9&gt;V3_Parameters!$F$9,"OVER","OK"))</x:f>
        <x:v>OK</x:v>
      </x:c>
      <x:c r="AK9" s="77" t="str">
        <x:f>IF(S9*T9*(1-U9)&gt;0.08,"SKILL",IF(L9/MAX(0.01,VLOOKUP(C9,V2_Units!$A$4:$AH$13,11,FALSE))&gt;1.08,"DPS","COST"))</x:f>
        <x:v>COST</x:v>
      </x:c>
    </x:row>
    <x:row r="10">
      <x:c r="A10" s="75" t="str">
        <x:v>Custom Unit 7</x:v>
      </x:c>
      <x:c r="B10" s="75" t="str">
        <x:v>General DPS</x:v>
      </x:c>
      <x:c r="C10" s="75" t="str">
        <x:v>Marine</x:v>
      </x:c>
      <x:c r="D10" s="75" t="str">
        <x:v>Zealot</x:v>
      </x:c>
      <x:c r="E10" s="75" t="n">
        <x:v>50</x:v>
      </x:c>
      <x:c r="F10" s="75" t="n">
        <x:v>0</x:v>
      </x:c>
      <x:c r="G10" s="75" t="n">
        <x:v>1</x:v>
      </x:c>
      <x:c r="H10" s="75" t="n">
        <x:v>18</x:v>
      </x:c>
      <x:c r="I10" s="75" t="n">
        <x:v>45</x:v>
      </x:c>
      <x:c r="J10" s="75" t="n">
        <x:v>0</x:v>
      </x:c>
      <x:c r="K10" s="75" t="n">
        <x:v>0</x:v>
      </x:c>
      <x:c r="L10" s="75" t="n">
        <x:v>9.8</x:v>
      </x:c>
      <x:c r="M10" s="75" t="n">
        <x:v>9.8</x:v>
      </x:c>
      <x:c r="N10" s="75" t="n">
        <x:v>5</x:v>
      </x:c>
      <x:c r="O10" s="75" t="n">
        <x:v>3.15</x:v>
      </x:c>
      <x:c r="P10" s="75" t="n">
        <x:v>0</x:v>
      </x:c>
      <x:c r="Q10" s="75" t="n">
        <x:v>1</x:v>
      </x:c>
      <x:c r="R10" s="75" t="n">
        <x:v>0.18</x:v>
      </x:c>
      <x:c r="S10" s="75" t="n">
        <x:v>0</x:v>
      </x:c>
      <x:c r="T10" s="75" t="n">
        <x:v>0</x:v>
      </x:c>
      <x:c r="U10" s="75" t="n">
        <x:v>0</x:v>
      </x:c>
      <x:c r="V10" s="75" t="n">
        <x:v>1</x:v>
      </x:c>
      <x:c r="W10" s="75" t="n">
        <x:v>1</x:v>
      </x:c>
      <x:c r="X10" s="75" t="n">
        <x:v>1</x:v>
      </x:c>
      <x:c r="Y10" s="75" t="n">
        <x:v>0</x:v>
      </x:c>
      <x:c r="Z10" s="75" t="n">
        <x:v>1</x:v>
      </x:c>
      <x:c r="AA10" s="75" t="str"/>
      <x:c r="AB10" s="77" t="n">
        <x:f>I10+J10*(1+K10)</x:f>
        <x:v>45</x:v>
      </x:c>
      <x:c r="AC10" s="78" t="n">
        <x:f>0.15*(AB10/MAX(0.01,VLOOKUP(C10,V2_Units!$A$4:$AH$13,23,FALSE)))+0.20*(L10/MAX(0.01,VLOOKUP(C10,V2_Units!$A$4:$AH$13,11,FALSE)))+0.05*(M10/MAX(0.01,VLOOKUP(C10,V2_Units!$A$4:$AH$13,12,FALSE)))+0.08*(N10/MAX(0.01,VLOOKUP(C10,V2_Units!$A$4:$AH$13,13,FALSE)))+0.07*((K10+1)/(VLOOKUP(C10,V2_Units!$A$4:$AH$13,10,FALSE)+1))+0.07*(O10/MAX(0.01,VLOOKUP(C10,V2_Units!$A$4:$AH$13,14,FALSE)))+0.10*((L10+P10)/MAX(0.01,VLOOKUP(C10,V2_Units!$A$4:$AH$13,11,FALSE)+VLOOKUP(C10,V2_Units!$A$4:$AH$13,15,FALSE)))+0.08*V10+0.05*(1+Y10)+0.15*(1+S10)</x:f>
        <x:v>1</x:v>
      </x:c>
      <x:c r="AD10" s="78" t="n">
        <x:f>1+S10*T10*(1-U10)</x:f>
        <x:v>1</x:v>
      </x:c>
      <x:c r="AE10" s="78" t="n">
        <x:f>AC10*AD10*V10*W10*X10*Z10</x:f>
        <x:v>1</x:v>
      </x:c>
      <x:c r="AF10" s="78" t="n">
        <x:f>E10*V3_Parameters!$F$4+F10*V3_Parameters!$F$5+G10*V3_Parameters!$F$6+H10*V3_Parameters!$F$7</x:f>
        <x:v>59.75</x:v>
      </x:c>
      <x:c r="AG10" s="78" t="n">
        <x:f>VLOOKUP(C10,V2_Units!$A$4:$AH$13,4,FALSE)*V3_Parameters!$F$4+VLOOKUP(C10,V2_Units!$A$4:$AH$13,5,FALSE)*V3_Parameters!$F$5+VLOOKUP(C10,V2_Units!$A$4:$AH$13,6,FALSE)*V3_Parameters!$F$6+VLOOKUP(C10,V2_Units!$A$4:$AH$13,7,FALSE)*V3_Parameters!$F$7</x:f>
        <x:v>59.75</x:v>
      </x:c>
      <x:c r="AH10" s="78" t="n">
        <x:f>AF10/MAX(0.01,AG10)</x:f>
        <x:v>1</x:v>
      </x:c>
      <x:c r="AI10" s="78" t="n">
        <x:f>AE10/MAX(0.01,AH10)</x:f>
        <x:v>1</x:v>
      </x:c>
      <x:c r="AJ10" s="77" t="str">
        <x:f>IF(AI10&lt;V3_Parameters!$F$8,"UNDER",IF(AI10&gt;V3_Parameters!$F$9,"OVER","OK"))</x:f>
        <x:v>OK</x:v>
      </x:c>
      <x:c r="AK10" s="77" t="str">
        <x:f>IF(S10*T10*(1-U10)&gt;0.08,"SKILL",IF(L10/MAX(0.01,VLOOKUP(C10,V2_Units!$A$4:$AH$13,11,FALSE))&gt;1.08,"DPS","COST"))</x:f>
        <x:v>COST</x:v>
      </x:c>
    </x:row>
    <x:row r="11">
      <x:c r="A11" s="75" t="str">
        <x:v>Custom Unit 8</x:v>
      </x:c>
      <x:c r="B11" s="75" t="str">
        <x:v>General DPS</x:v>
      </x:c>
      <x:c r="C11" s="75" t="str">
        <x:v>Marine</x:v>
      </x:c>
      <x:c r="D11" s="75" t="str">
        <x:v>Zealot</x:v>
      </x:c>
      <x:c r="E11" s="75" t="n">
        <x:v>50</x:v>
      </x:c>
      <x:c r="F11" s="75" t="n">
        <x:v>0</x:v>
      </x:c>
      <x:c r="G11" s="75" t="n">
        <x:v>1</x:v>
      </x:c>
      <x:c r="H11" s="75" t="n">
        <x:v>18</x:v>
      </x:c>
      <x:c r="I11" s="75" t="n">
        <x:v>45</x:v>
      </x:c>
      <x:c r="J11" s="75" t="n">
        <x:v>0</x:v>
      </x:c>
      <x:c r="K11" s="75" t="n">
        <x:v>0</x:v>
      </x:c>
      <x:c r="L11" s="75" t="n">
        <x:v>9.8</x:v>
      </x:c>
      <x:c r="M11" s="75" t="n">
        <x:v>9.8</x:v>
      </x:c>
      <x:c r="N11" s="75" t="n">
        <x:v>5</x:v>
      </x:c>
      <x:c r="O11" s="75" t="n">
        <x:v>3.15</x:v>
      </x:c>
      <x:c r="P11" s="75" t="n">
        <x:v>0</x:v>
      </x:c>
      <x:c r="Q11" s="75" t="n">
        <x:v>1</x:v>
      </x:c>
      <x:c r="R11" s="75" t="n">
        <x:v>0.18</x:v>
      </x:c>
      <x:c r="S11" s="75" t="n">
        <x:v>0</x:v>
      </x:c>
      <x:c r="T11" s="75" t="n">
        <x:v>0</x:v>
      </x:c>
      <x:c r="U11" s="75" t="n">
        <x:v>0</x:v>
      </x:c>
      <x:c r="V11" s="75" t="n">
        <x:v>1</x:v>
      </x:c>
      <x:c r="W11" s="75" t="n">
        <x:v>1</x:v>
      </x:c>
      <x:c r="X11" s="75" t="n">
        <x:v>1</x:v>
      </x:c>
      <x:c r="Y11" s="75" t="n">
        <x:v>0</x:v>
      </x:c>
      <x:c r="Z11" s="75" t="n">
        <x:v>1</x:v>
      </x:c>
      <x:c r="AA11" s="75" t="str"/>
      <x:c r="AB11" s="77" t="n">
        <x:f>I11+J11*(1+K11)</x:f>
        <x:v>45</x:v>
      </x:c>
      <x:c r="AC11" s="78" t="n">
        <x:f>0.15*(AB11/MAX(0.01,VLOOKUP(C11,V2_Units!$A$4:$AH$13,23,FALSE)))+0.20*(L11/MAX(0.01,VLOOKUP(C11,V2_Units!$A$4:$AH$13,11,FALSE)))+0.05*(M11/MAX(0.01,VLOOKUP(C11,V2_Units!$A$4:$AH$13,12,FALSE)))+0.08*(N11/MAX(0.01,VLOOKUP(C11,V2_Units!$A$4:$AH$13,13,FALSE)))+0.07*((K11+1)/(VLOOKUP(C11,V2_Units!$A$4:$AH$13,10,FALSE)+1))+0.07*(O11/MAX(0.01,VLOOKUP(C11,V2_Units!$A$4:$AH$13,14,FALSE)))+0.10*((L11+P11)/MAX(0.01,VLOOKUP(C11,V2_Units!$A$4:$AH$13,11,FALSE)+VLOOKUP(C11,V2_Units!$A$4:$AH$13,15,FALSE)))+0.08*V11+0.05*(1+Y11)+0.15*(1+S11)</x:f>
        <x:v>1</x:v>
      </x:c>
      <x:c r="AD11" s="78" t="n">
        <x:f>1+S11*T11*(1-U11)</x:f>
        <x:v>1</x:v>
      </x:c>
      <x:c r="AE11" s="78" t="n">
        <x:f>AC11*AD11*V11*W11*X11*Z11</x:f>
        <x:v>1</x:v>
      </x:c>
      <x:c r="AF11" s="78" t="n">
        <x:f>E11*V3_Parameters!$F$4+F11*V3_Parameters!$F$5+G11*V3_Parameters!$F$6+H11*V3_Parameters!$F$7</x:f>
        <x:v>59.75</x:v>
      </x:c>
      <x:c r="AG11" s="78" t="n">
        <x:f>VLOOKUP(C11,V2_Units!$A$4:$AH$13,4,FALSE)*V3_Parameters!$F$4+VLOOKUP(C11,V2_Units!$A$4:$AH$13,5,FALSE)*V3_Parameters!$F$5+VLOOKUP(C11,V2_Units!$A$4:$AH$13,6,FALSE)*V3_Parameters!$F$6+VLOOKUP(C11,V2_Units!$A$4:$AH$13,7,FALSE)*V3_Parameters!$F$7</x:f>
        <x:v>59.75</x:v>
      </x:c>
      <x:c r="AH11" s="78" t="n">
        <x:f>AF11/MAX(0.01,AG11)</x:f>
        <x:v>1</x:v>
      </x:c>
      <x:c r="AI11" s="78" t="n">
        <x:f>AE11/MAX(0.01,AH11)</x:f>
        <x:v>1</x:v>
      </x:c>
      <x:c r="AJ11" s="77" t="str">
        <x:f>IF(AI11&lt;V3_Parameters!$F$8,"UNDER",IF(AI11&gt;V3_Parameters!$F$9,"OVER","OK"))</x:f>
        <x:v>OK</x:v>
      </x:c>
      <x:c r="AK11" s="77" t="str">
        <x:f>IF(S11*T11*(1-U11)&gt;0.08,"SKILL",IF(L11/MAX(0.01,VLOOKUP(C11,V2_Units!$A$4:$AH$13,11,FALSE))&gt;1.08,"DPS","COST"))</x:f>
        <x:v>COST</x:v>
      </x:c>
    </x:row>
    <x:row r="12">
      <x:c r="A12" s="75" t="str">
        <x:v>Custom Unit 9</x:v>
      </x:c>
      <x:c r="B12" s="75" t="str">
        <x:v>General DPS</x:v>
      </x:c>
      <x:c r="C12" s="75" t="str">
        <x:v>Marine</x:v>
      </x:c>
      <x:c r="D12" s="75" t="str">
        <x:v>Zealot</x:v>
      </x:c>
      <x:c r="E12" s="75" t="n">
        <x:v>50</x:v>
      </x:c>
      <x:c r="F12" s="75" t="n">
        <x:v>0</x:v>
      </x:c>
      <x:c r="G12" s="75" t="n">
        <x:v>1</x:v>
      </x:c>
      <x:c r="H12" s="75" t="n">
        <x:v>18</x:v>
      </x:c>
      <x:c r="I12" s="75" t="n">
        <x:v>45</x:v>
      </x:c>
      <x:c r="J12" s="75" t="n">
        <x:v>0</x:v>
      </x:c>
      <x:c r="K12" s="75" t="n">
        <x:v>0</x:v>
      </x:c>
      <x:c r="L12" s="75" t="n">
        <x:v>9.8</x:v>
      </x:c>
      <x:c r="M12" s="75" t="n">
        <x:v>9.8</x:v>
      </x:c>
      <x:c r="N12" s="75" t="n">
        <x:v>5</x:v>
      </x:c>
      <x:c r="O12" s="75" t="n">
        <x:v>3.15</x:v>
      </x:c>
      <x:c r="P12" s="75" t="n">
        <x:v>0</x:v>
      </x:c>
      <x:c r="Q12" s="75" t="n">
        <x:v>1</x:v>
      </x:c>
      <x:c r="R12" s="75" t="n">
        <x:v>0.18</x:v>
      </x:c>
      <x:c r="S12" s="75" t="n">
        <x:v>0</x:v>
      </x:c>
      <x:c r="T12" s="75" t="n">
        <x:v>0</x:v>
      </x:c>
      <x:c r="U12" s="75" t="n">
        <x:v>0</x:v>
      </x:c>
      <x:c r="V12" s="75" t="n">
        <x:v>1</x:v>
      </x:c>
      <x:c r="W12" s="75" t="n">
        <x:v>1</x:v>
      </x:c>
      <x:c r="X12" s="75" t="n">
        <x:v>1</x:v>
      </x:c>
      <x:c r="Y12" s="75" t="n">
        <x:v>0</x:v>
      </x:c>
      <x:c r="Z12" s="75" t="n">
        <x:v>1</x:v>
      </x:c>
      <x:c r="AA12" s="75" t="str"/>
      <x:c r="AB12" s="77" t="n">
        <x:f>I12+J12*(1+K12)</x:f>
        <x:v>45</x:v>
      </x:c>
      <x:c r="AC12" s="78" t="n">
        <x:f>0.15*(AB12/MAX(0.01,VLOOKUP(C12,V2_Units!$A$4:$AH$13,23,FALSE)))+0.20*(L12/MAX(0.01,VLOOKUP(C12,V2_Units!$A$4:$AH$13,11,FALSE)))+0.05*(M12/MAX(0.01,VLOOKUP(C12,V2_Units!$A$4:$AH$13,12,FALSE)))+0.08*(N12/MAX(0.01,VLOOKUP(C12,V2_Units!$A$4:$AH$13,13,FALSE)))+0.07*((K12+1)/(VLOOKUP(C12,V2_Units!$A$4:$AH$13,10,FALSE)+1))+0.07*(O12/MAX(0.01,VLOOKUP(C12,V2_Units!$A$4:$AH$13,14,FALSE)))+0.10*((L12+P12)/MAX(0.01,VLOOKUP(C12,V2_Units!$A$4:$AH$13,11,FALSE)+VLOOKUP(C12,V2_Units!$A$4:$AH$13,15,FALSE)))+0.08*V12+0.05*(1+Y12)+0.15*(1+S12)</x:f>
        <x:v>1</x:v>
      </x:c>
      <x:c r="AD12" s="78" t="n">
        <x:f>1+S12*T12*(1-U12)</x:f>
        <x:v>1</x:v>
      </x:c>
      <x:c r="AE12" s="78" t="n">
        <x:f>AC12*AD12*V12*W12*X12*Z12</x:f>
        <x:v>1</x:v>
      </x:c>
      <x:c r="AF12" s="78" t="n">
        <x:f>E12*V3_Parameters!$F$4+F12*V3_Parameters!$F$5+G12*V3_Parameters!$F$6+H12*V3_Parameters!$F$7</x:f>
        <x:v>59.75</x:v>
      </x:c>
      <x:c r="AG12" s="78" t="n">
        <x:f>VLOOKUP(C12,V2_Units!$A$4:$AH$13,4,FALSE)*V3_Parameters!$F$4+VLOOKUP(C12,V2_Units!$A$4:$AH$13,5,FALSE)*V3_Parameters!$F$5+VLOOKUP(C12,V2_Units!$A$4:$AH$13,6,FALSE)*V3_Parameters!$F$6+VLOOKUP(C12,V2_Units!$A$4:$AH$13,7,FALSE)*V3_Parameters!$F$7</x:f>
        <x:v>59.75</x:v>
      </x:c>
      <x:c r="AH12" s="78" t="n">
        <x:f>AF12/MAX(0.01,AG12)</x:f>
        <x:v>1</x:v>
      </x:c>
      <x:c r="AI12" s="78" t="n">
        <x:f>AE12/MAX(0.01,AH12)</x:f>
        <x:v>1</x:v>
      </x:c>
      <x:c r="AJ12" s="77" t="str">
        <x:f>IF(AI12&lt;V3_Parameters!$F$8,"UNDER",IF(AI12&gt;V3_Parameters!$F$9,"OVER","OK"))</x:f>
        <x:v>OK</x:v>
      </x:c>
      <x:c r="AK12" s="77" t="str">
        <x:f>IF(S12*T12*(1-U12)&gt;0.08,"SKILL",IF(L12/MAX(0.01,VLOOKUP(C12,V2_Units!$A$4:$AH$13,11,FALSE))&gt;1.08,"DPS","COST"))</x:f>
        <x:v>COST</x:v>
      </x:c>
    </x:row>
    <x:row r="13">
      <x:c r="A13" s="75" t="str">
        <x:v>Custom Unit 10</x:v>
      </x:c>
      <x:c r="B13" s="75" t="str">
        <x:v>General DPS</x:v>
      </x:c>
      <x:c r="C13" s="75" t="str">
        <x:v>Marine</x:v>
      </x:c>
      <x:c r="D13" s="75" t="str">
        <x:v>Zealot</x:v>
      </x:c>
      <x:c r="E13" s="75" t="n">
        <x:v>50</x:v>
      </x:c>
      <x:c r="F13" s="75" t="n">
        <x:v>0</x:v>
      </x:c>
      <x:c r="G13" s="75" t="n">
        <x:v>1</x:v>
      </x:c>
      <x:c r="H13" s="75" t="n">
        <x:v>18</x:v>
      </x:c>
      <x:c r="I13" s="75" t="n">
        <x:v>45</x:v>
      </x:c>
      <x:c r="J13" s="75" t="n">
        <x:v>0</x:v>
      </x:c>
      <x:c r="K13" s="75" t="n">
        <x:v>0</x:v>
      </x:c>
      <x:c r="L13" s="75" t="n">
        <x:v>9.8</x:v>
      </x:c>
      <x:c r="M13" s="75" t="n">
        <x:v>9.8</x:v>
      </x:c>
      <x:c r="N13" s="75" t="n">
        <x:v>5</x:v>
      </x:c>
      <x:c r="O13" s="75" t="n">
        <x:v>3.15</x:v>
      </x:c>
      <x:c r="P13" s="75" t="n">
        <x:v>0</x:v>
      </x:c>
      <x:c r="Q13" s="75" t="n">
        <x:v>1</x:v>
      </x:c>
      <x:c r="R13" s="75" t="n">
        <x:v>0.18</x:v>
      </x:c>
      <x:c r="S13" s="75" t="n">
        <x:v>0</x:v>
      </x:c>
      <x:c r="T13" s="75" t="n">
        <x:v>0</x:v>
      </x:c>
      <x:c r="U13" s="75" t="n">
        <x:v>0</x:v>
      </x:c>
      <x:c r="V13" s="75" t="n">
        <x:v>1</x:v>
      </x:c>
      <x:c r="W13" s="75" t="n">
        <x:v>1</x:v>
      </x:c>
      <x:c r="X13" s="75" t="n">
        <x:v>1</x:v>
      </x:c>
      <x:c r="Y13" s="75" t="n">
        <x:v>0</x:v>
      </x:c>
      <x:c r="Z13" s="75" t="n">
        <x:v>1</x:v>
      </x:c>
      <x:c r="AA13" s="75" t="str"/>
      <x:c r="AB13" s="77" t="n">
        <x:f>I13+J13*(1+K13)</x:f>
        <x:v>45</x:v>
      </x:c>
      <x:c r="AC13" s="78" t="n">
        <x:f>0.15*(AB13/MAX(0.01,VLOOKUP(C13,V2_Units!$A$4:$AH$13,23,FALSE)))+0.20*(L13/MAX(0.01,VLOOKUP(C13,V2_Units!$A$4:$AH$13,11,FALSE)))+0.05*(M13/MAX(0.01,VLOOKUP(C13,V2_Units!$A$4:$AH$13,12,FALSE)))+0.08*(N13/MAX(0.01,VLOOKUP(C13,V2_Units!$A$4:$AH$13,13,FALSE)))+0.07*((K13+1)/(VLOOKUP(C13,V2_Units!$A$4:$AH$13,10,FALSE)+1))+0.07*(O13/MAX(0.01,VLOOKUP(C13,V2_Units!$A$4:$AH$13,14,FALSE)))+0.10*((L13+P13)/MAX(0.01,VLOOKUP(C13,V2_Units!$A$4:$AH$13,11,FALSE)+VLOOKUP(C13,V2_Units!$A$4:$AH$13,15,FALSE)))+0.08*V13+0.05*(1+Y13)+0.15*(1+S13)</x:f>
        <x:v>1</x:v>
      </x:c>
      <x:c r="AD13" s="78" t="n">
        <x:f>1+S13*T13*(1-U13)</x:f>
        <x:v>1</x:v>
      </x:c>
      <x:c r="AE13" s="78" t="n">
        <x:f>AC13*AD13*V13*W13*X13*Z13</x:f>
        <x:v>1</x:v>
      </x:c>
      <x:c r="AF13" s="78" t="n">
        <x:f>E13*V3_Parameters!$F$4+F13*V3_Parameters!$F$5+G13*V3_Parameters!$F$6+H13*V3_Parameters!$F$7</x:f>
        <x:v>59.75</x:v>
      </x:c>
      <x:c r="AG13" s="78" t="n">
        <x:f>VLOOKUP(C13,V2_Units!$A$4:$AH$13,4,FALSE)*V3_Parameters!$F$4+VLOOKUP(C13,V2_Units!$A$4:$AH$13,5,FALSE)*V3_Parameters!$F$5+VLOOKUP(C13,V2_Units!$A$4:$AH$13,6,FALSE)*V3_Parameters!$F$6+VLOOKUP(C13,V2_Units!$A$4:$AH$13,7,FALSE)*V3_Parameters!$F$7</x:f>
        <x:v>59.75</x:v>
      </x:c>
      <x:c r="AH13" s="78" t="n">
        <x:f>AF13/MAX(0.01,AG13)</x:f>
        <x:v>1</x:v>
      </x:c>
      <x:c r="AI13" s="78" t="n">
        <x:f>AE13/MAX(0.01,AH13)</x:f>
        <x:v>1</x:v>
      </x:c>
      <x:c r="AJ13" s="77" t="str">
        <x:f>IF(AI13&lt;V3_Parameters!$F$8,"UNDER",IF(AI13&gt;V3_Parameters!$F$9,"OVER","OK"))</x:f>
        <x:v>OK</x:v>
      </x:c>
      <x:c r="AK13" s="77" t="str">
        <x:f>IF(S13*T13*(1-U13)&gt;0.08,"SKILL",IF(L13/MAX(0.01,VLOOKUP(C13,V2_Units!$A$4:$AH$13,11,FALSE))&gt;1.08,"DPS","COST"))</x:f>
        <x:v>COST</x:v>
      </x:c>
    </x:row>
    <x:row r="14">
      <x:c r="A14" s="75" t="str">
        <x:v>Custom Unit 11</x:v>
      </x:c>
      <x:c r="B14" s="75" t="str">
        <x:v>General DPS</x:v>
      </x:c>
      <x:c r="C14" s="75" t="str">
        <x:v>Marine</x:v>
      </x:c>
      <x:c r="D14" s="75" t="str">
        <x:v>Zealot</x:v>
      </x:c>
      <x:c r="E14" s="75" t="n">
        <x:v>50</x:v>
      </x:c>
      <x:c r="F14" s="75" t="n">
        <x:v>0</x:v>
      </x:c>
      <x:c r="G14" s="75" t="n">
        <x:v>1</x:v>
      </x:c>
      <x:c r="H14" s="75" t="n">
        <x:v>18</x:v>
      </x:c>
      <x:c r="I14" s="75" t="n">
        <x:v>45</x:v>
      </x:c>
      <x:c r="J14" s="75" t="n">
        <x:v>0</x:v>
      </x:c>
      <x:c r="K14" s="75" t="n">
        <x:v>0</x:v>
      </x:c>
      <x:c r="L14" s="75" t="n">
        <x:v>9.8</x:v>
      </x:c>
      <x:c r="M14" s="75" t="n">
        <x:v>9.8</x:v>
      </x:c>
      <x:c r="N14" s="75" t="n">
        <x:v>5</x:v>
      </x:c>
      <x:c r="O14" s="75" t="n">
        <x:v>3.15</x:v>
      </x:c>
      <x:c r="P14" s="75" t="n">
        <x:v>0</x:v>
      </x:c>
      <x:c r="Q14" s="75" t="n">
        <x:v>1</x:v>
      </x:c>
      <x:c r="R14" s="75" t="n">
        <x:v>0.18</x:v>
      </x:c>
      <x:c r="S14" s="75" t="n">
        <x:v>0</x:v>
      </x:c>
      <x:c r="T14" s="75" t="n">
        <x:v>0</x:v>
      </x:c>
      <x:c r="U14" s="75" t="n">
        <x:v>0</x:v>
      </x:c>
      <x:c r="V14" s="75" t="n">
        <x:v>1</x:v>
      </x:c>
      <x:c r="W14" s="75" t="n">
        <x:v>1</x:v>
      </x:c>
      <x:c r="X14" s="75" t="n">
        <x:v>1</x:v>
      </x:c>
      <x:c r="Y14" s="75" t="n">
        <x:v>0</x:v>
      </x:c>
      <x:c r="Z14" s="75" t="n">
        <x:v>1</x:v>
      </x:c>
      <x:c r="AA14" s="75" t="str"/>
      <x:c r="AB14" s="77" t="n">
        <x:f>I14+J14*(1+K14)</x:f>
        <x:v>45</x:v>
      </x:c>
      <x:c r="AC14" s="78" t="n">
        <x:f>0.15*(AB14/MAX(0.01,VLOOKUP(C14,V2_Units!$A$4:$AH$13,23,FALSE)))+0.20*(L14/MAX(0.01,VLOOKUP(C14,V2_Units!$A$4:$AH$13,11,FALSE)))+0.05*(M14/MAX(0.01,VLOOKUP(C14,V2_Units!$A$4:$AH$13,12,FALSE)))+0.08*(N14/MAX(0.01,VLOOKUP(C14,V2_Units!$A$4:$AH$13,13,FALSE)))+0.07*((K14+1)/(VLOOKUP(C14,V2_Units!$A$4:$AH$13,10,FALSE)+1))+0.07*(O14/MAX(0.01,VLOOKUP(C14,V2_Units!$A$4:$AH$13,14,FALSE)))+0.10*((L14+P14)/MAX(0.01,VLOOKUP(C14,V2_Units!$A$4:$AH$13,11,FALSE)+VLOOKUP(C14,V2_Units!$A$4:$AH$13,15,FALSE)))+0.08*V14+0.05*(1+Y14)+0.15*(1+S14)</x:f>
        <x:v>1</x:v>
      </x:c>
      <x:c r="AD14" s="78" t="n">
        <x:f>1+S14*T14*(1-U14)</x:f>
        <x:v>1</x:v>
      </x:c>
      <x:c r="AE14" s="78" t="n">
        <x:f>AC14*AD14*V14*W14*X14*Z14</x:f>
        <x:v>1</x:v>
      </x:c>
      <x:c r="AF14" s="78" t="n">
        <x:f>E14*V3_Parameters!$F$4+F14*V3_Parameters!$F$5+G14*V3_Parameters!$F$6+H14*V3_Parameters!$F$7</x:f>
        <x:v>59.75</x:v>
      </x:c>
      <x:c r="AG14" s="78" t="n">
        <x:f>VLOOKUP(C14,V2_Units!$A$4:$AH$13,4,FALSE)*V3_Parameters!$F$4+VLOOKUP(C14,V2_Units!$A$4:$AH$13,5,FALSE)*V3_Parameters!$F$5+VLOOKUP(C14,V2_Units!$A$4:$AH$13,6,FALSE)*V3_Parameters!$F$6+VLOOKUP(C14,V2_Units!$A$4:$AH$13,7,FALSE)*V3_Parameters!$F$7</x:f>
        <x:v>59.75</x:v>
      </x:c>
      <x:c r="AH14" s="78" t="n">
        <x:f>AF14/MAX(0.01,AG14)</x:f>
        <x:v>1</x:v>
      </x:c>
      <x:c r="AI14" s="78" t="n">
        <x:f>AE14/MAX(0.01,AH14)</x:f>
        <x:v>1</x:v>
      </x:c>
      <x:c r="AJ14" s="77" t="str">
        <x:f>IF(AI14&lt;V3_Parameters!$F$8,"UNDER",IF(AI14&gt;V3_Parameters!$F$9,"OVER","OK"))</x:f>
        <x:v>OK</x:v>
      </x:c>
      <x:c r="AK14" s="77" t="str">
        <x:f>IF(S14*T14*(1-U14)&gt;0.08,"SKILL",IF(L14/MAX(0.01,VLOOKUP(C14,V2_Units!$A$4:$AH$13,11,FALSE))&gt;1.08,"DPS","COST"))</x:f>
        <x:v>COST</x:v>
      </x:c>
    </x:row>
    <x:row r="15">
      <x:c r="A15" s="75" t="str">
        <x:v>Custom Unit 12</x:v>
      </x:c>
      <x:c r="B15" s="75" t="str">
        <x:v>General DPS</x:v>
      </x:c>
      <x:c r="C15" s="75" t="str">
        <x:v>Marine</x:v>
      </x:c>
      <x:c r="D15" s="75" t="str">
        <x:v>Zealot</x:v>
      </x:c>
      <x:c r="E15" s="75" t="n">
        <x:v>50</x:v>
      </x:c>
      <x:c r="F15" s="75" t="n">
        <x:v>0</x:v>
      </x:c>
      <x:c r="G15" s="75" t="n">
        <x:v>1</x:v>
      </x:c>
      <x:c r="H15" s="75" t="n">
        <x:v>18</x:v>
      </x:c>
      <x:c r="I15" s="75" t="n">
        <x:v>45</x:v>
      </x:c>
      <x:c r="J15" s="75" t="n">
        <x:v>0</x:v>
      </x:c>
      <x:c r="K15" s="75" t="n">
        <x:v>0</x:v>
      </x:c>
      <x:c r="L15" s="75" t="n">
        <x:v>9.8</x:v>
      </x:c>
      <x:c r="M15" s="75" t="n">
        <x:v>9.8</x:v>
      </x:c>
      <x:c r="N15" s="75" t="n">
        <x:v>5</x:v>
      </x:c>
      <x:c r="O15" s="75" t="n">
        <x:v>3.15</x:v>
      </x:c>
      <x:c r="P15" s="75" t="n">
        <x:v>0</x:v>
      </x:c>
      <x:c r="Q15" s="75" t="n">
        <x:v>1</x:v>
      </x:c>
      <x:c r="R15" s="75" t="n">
        <x:v>0.18</x:v>
      </x:c>
      <x:c r="S15" s="75" t="n">
        <x:v>0</x:v>
      </x:c>
      <x:c r="T15" s="75" t="n">
        <x:v>0</x:v>
      </x:c>
      <x:c r="U15" s="75" t="n">
        <x:v>0</x:v>
      </x:c>
      <x:c r="V15" s="75" t="n">
        <x:v>1</x:v>
      </x:c>
      <x:c r="W15" s="75" t="n">
        <x:v>1</x:v>
      </x:c>
      <x:c r="X15" s="75" t="n">
        <x:v>1</x:v>
      </x:c>
      <x:c r="Y15" s="75" t="n">
        <x:v>0</x:v>
      </x:c>
      <x:c r="Z15" s="75" t="n">
        <x:v>1</x:v>
      </x:c>
      <x:c r="AA15" s="75" t="str"/>
      <x:c r="AB15" s="77" t="n">
        <x:f>I15+J15*(1+K15)</x:f>
        <x:v>45</x:v>
      </x:c>
      <x:c r="AC15" s="78" t="n">
        <x:f>0.15*(AB15/MAX(0.01,VLOOKUP(C15,V2_Units!$A$4:$AH$13,23,FALSE)))+0.20*(L15/MAX(0.01,VLOOKUP(C15,V2_Units!$A$4:$AH$13,11,FALSE)))+0.05*(M15/MAX(0.01,VLOOKUP(C15,V2_Units!$A$4:$AH$13,12,FALSE)))+0.08*(N15/MAX(0.01,VLOOKUP(C15,V2_Units!$A$4:$AH$13,13,FALSE)))+0.07*((K15+1)/(VLOOKUP(C15,V2_Units!$A$4:$AH$13,10,FALSE)+1))+0.07*(O15/MAX(0.01,VLOOKUP(C15,V2_Units!$A$4:$AH$13,14,FALSE)))+0.10*((L15+P15)/MAX(0.01,VLOOKUP(C15,V2_Units!$A$4:$AH$13,11,FALSE)+VLOOKUP(C15,V2_Units!$A$4:$AH$13,15,FALSE)))+0.08*V15+0.05*(1+Y15)+0.15*(1+S15)</x:f>
        <x:v>1</x:v>
      </x:c>
      <x:c r="AD15" s="78" t="n">
        <x:f>1+S15*T15*(1-U15)</x:f>
        <x:v>1</x:v>
      </x:c>
      <x:c r="AE15" s="78" t="n">
        <x:f>AC15*AD15*V15*W15*X15*Z15</x:f>
        <x:v>1</x:v>
      </x:c>
      <x:c r="AF15" s="78" t="n">
        <x:f>E15*V3_Parameters!$F$4+F15*V3_Parameters!$F$5+G15*V3_Parameters!$F$6+H15*V3_Parameters!$F$7</x:f>
        <x:v>59.75</x:v>
      </x:c>
      <x:c r="AG15" s="78" t="n">
        <x:f>VLOOKUP(C15,V2_Units!$A$4:$AH$13,4,FALSE)*V3_Parameters!$F$4+VLOOKUP(C15,V2_Units!$A$4:$AH$13,5,FALSE)*V3_Parameters!$F$5+VLOOKUP(C15,V2_Units!$A$4:$AH$13,6,FALSE)*V3_Parameters!$F$6+VLOOKUP(C15,V2_Units!$A$4:$AH$13,7,FALSE)*V3_Parameters!$F$7</x:f>
        <x:v>59.75</x:v>
      </x:c>
      <x:c r="AH15" s="78" t="n">
        <x:f>AF15/MAX(0.01,AG15)</x:f>
        <x:v>1</x:v>
      </x:c>
      <x:c r="AI15" s="78" t="n">
        <x:f>AE15/MAX(0.01,AH15)</x:f>
        <x:v>1</x:v>
      </x:c>
      <x:c r="AJ15" s="77" t="str">
        <x:f>IF(AI15&lt;V3_Parameters!$F$8,"UNDER",IF(AI15&gt;V3_Parameters!$F$9,"OVER","OK"))</x:f>
        <x:v>OK</x:v>
      </x:c>
      <x:c r="AK15" s="77" t="str">
        <x:f>IF(S15*T15*(1-U15)&gt;0.08,"SKILL",IF(L15/MAX(0.01,VLOOKUP(C15,V2_Units!$A$4:$AH$13,11,FALSE))&gt;1.08,"DPS","COST"))</x:f>
        <x:v>COST</x:v>
      </x:c>
    </x:row>
    <x:row r="16">
      <x:c r="A16" s="75" t="str">
        <x:v>Custom Unit 13</x:v>
      </x:c>
      <x:c r="B16" s="75" t="str">
        <x:v>General DPS</x:v>
      </x:c>
      <x:c r="C16" s="75" t="str">
        <x:v>Marine</x:v>
      </x:c>
      <x:c r="D16" s="75" t="str">
        <x:v>Zealot</x:v>
      </x:c>
      <x:c r="E16" s="75" t="n">
        <x:v>50</x:v>
      </x:c>
      <x:c r="F16" s="75" t="n">
        <x:v>0</x:v>
      </x:c>
      <x:c r="G16" s="75" t="n">
        <x:v>1</x:v>
      </x:c>
      <x:c r="H16" s="75" t="n">
        <x:v>18</x:v>
      </x:c>
      <x:c r="I16" s="75" t="n">
        <x:v>45</x:v>
      </x:c>
      <x:c r="J16" s="75" t="n">
        <x:v>0</x:v>
      </x:c>
      <x:c r="K16" s="75" t="n">
        <x:v>0</x:v>
      </x:c>
      <x:c r="L16" s="75" t="n">
        <x:v>9.8</x:v>
      </x:c>
      <x:c r="M16" s="75" t="n">
        <x:v>9.8</x:v>
      </x:c>
      <x:c r="N16" s="75" t="n">
        <x:v>5</x:v>
      </x:c>
      <x:c r="O16" s="75" t="n">
        <x:v>3.15</x:v>
      </x:c>
      <x:c r="P16" s="75" t="n">
        <x:v>0</x:v>
      </x:c>
      <x:c r="Q16" s="75" t="n">
        <x:v>1</x:v>
      </x:c>
      <x:c r="R16" s="75" t="n">
        <x:v>0.18</x:v>
      </x:c>
      <x:c r="S16" s="75" t="n">
        <x:v>0</x:v>
      </x:c>
      <x:c r="T16" s="75" t="n">
        <x:v>0</x:v>
      </x:c>
      <x:c r="U16" s="75" t="n">
        <x:v>0</x:v>
      </x:c>
      <x:c r="V16" s="75" t="n">
        <x:v>1</x:v>
      </x:c>
      <x:c r="W16" s="75" t="n">
        <x:v>1</x:v>
      </x:c>
      <x:c r="X16" s="75" t="n">
        <x:v>1</x:v>
      </x:c>
      <x:c r="Y16" s="75" t="n">
        <x:v>0</x:v>
      </x:c>
      <x:c r="Z16" s="75" t="n">
        <x:v>1</x:v>
      </x:c>
      <x:c r="AA16" s="75" t="str"/>
      <x:c r="AB16" s="77" t="n">
        <x:f>I16+J16*(1+K16)</x:f>
        <x:v>45</x:v>
      </x:c>
      <x:c r="AC16" s="78" t="n">
        <x:f>0.15*(AB16/MAX(0.01,VLOOKUP(C16,V2_Units!$A$4:$AH$13,23,FALSE)))+0.20*(L16/MAX(0.01,VLOOKUP(C16,V2_Units!$A$4:$AH$13,11,FALSE)))+0.05*(M16/MAX(0.01,VLOOKUP(C16,V2_Units!$A$4:$AH$13,12,FALSE)))+0.08*(N16/MAX(0.01,VLOOKUP(C16,V2_Units!$A$4:$AH$13,13,FALSE)))+0.07*((K16+1)/(VLOOKUP(C16,V2_Units!$A$4:$AH$13,10,FALSE)+1))+0.07*(O16/MAX(0.01,VLOOKUP(C16,V2_Units!$A$4:$AH$13,14,FALSE)))+0.10*((L16+P16)/MAX(0.01,VLOOKUP(C16,V2_Units!$A$4:$AH$13,11,FALSE)+VLOOKUP(C16,V2_Units!$A$4:$AH$13,15,FALSE)))+0.08*V16+0.05*(1+Y16)+0.15*(1+S16)</x:f>
        <x:v>1</x:v>
      </x:c>
      <x:c r="AD16" s="78" t="n">
        <x:f>1+S16*T16*(1-U16)</x:f>
        <x:v>1</x:v>
      </x:c>
      <x:c r="AE16" s="78" t="n">
        <x:f>AC16*AD16*V16*W16*X16*Z16</x:f>
        <x:v>1</x:v>
      </x:c>
      <x:c r="AF16" s="78" t="n">
        <x:f>E16*V3_Parameters!$F$4+F16*V3_Parameters!$F$5+G16*V3_Parameters!$F$6+H16*V3_Parameters!$F$7</x:f>
        <x:v>59.75</x:v>
      </x:c>
      <x:c r="AG16" s="78" t="n">
        <x:f>VLOOKUP(C16,V2_Units!$A$4:$AH$13,4,FALSE)*V3_Parameters!$F$4+VLOOKUP(C16,V2_Units!$A$4:$AH$13,5,FALSE)*V3_Parameters!$F$5+VLOOKUP(C16,V2_Units!$A$4:$AH$13,6,FALSE)*V3_Parameters!$F$6+VLOOKUP(C16,V2_Units!$A$4:$AH$13,7,FALSE)*V3_Parameters!$F$7</x:f>
        <x:v>59.75</x:v>
      </x:c>
      <x:c r="AH16" s="78" t="n">
        <x:f>AF16/MAX(0.01,AG16)</x:f>
        <x:v>1</x:v>
      </x:c>
      <x:c r="AI16" s="78" t="n">
        <x:f>AE16/MAX(0.01,AH16)</x:f>
        <x:v>1</x:v>
      </x:c>
      <x:c r="AJ16" s="77" t="str">
        <x:f>IF(AI16&lt;V3_Parameters!$F$8,"UNDER",IF(AI16&gt;V3_Parameters!$F$9,"OVER","OK"))</x:f>
        <x:v>OK</x:v>
      </x:c>
      <x:c r="AK16" s="77" t="str">
        <x:f>IF(S16*T16*(1-U16)&gt;0.08,"SKILL",IF(L16/MAX(0.01,VLOOKUP(C16,V2_Units!$A$4:$AH$13,11,FALSE))&gt;1.08,"DPS","COST"))</x:f>
        <x:v>COST</x:v>
      </x:c>
    </x:row>
    <x:row r="17">
      <x:c r="A17" s="75" t="str">
        <x:v>Custom Unit 14</x:v>
      </x:c>
      <x:c r="B17" s="75" t="str">
        <x:v>General DPS</x:v>
      </x:c>
      <x:c r="C17" s="75" t="str">
        <x:v>Marine</x:v>
      </x:c>
      <x:c r="D17" s="75" t="str">
        <x:v>Zealot</x:v>
      </x:c>
      <x:c r="E17" s="75" t="n">
        <x:v>50</x:v>
      </x:c>
      <x:c r="F17" s="75" t="n">
        <x:v>0</x:v>
      </x:c>
      <x:c r="G17" s="75" t="n">
        <x:v>1</x:v>
      </x:c>
      <x:c r="H17" s="75" t="n">
        <x:v>18</x:v>
      </x:c>
      <x:c r="I17" s="75" t="n">
        <x:v>45</x:v>
      </x:c>
      <x:c r="J17" s="75" t="n">
        <x:v>0</x:v>
      </x:c>
      <x:c r="K17" s="75" t="n">
        <x:v>0</x:v>
      </x:c>
      <x:c r="L17" s="75" t="n">
        <x:v>9.8</x:v>
      </x:c>
      <x:c r="M17" s="75" t="n">
        <x:v>9.8</x:v>
      </x:c>
      <x:c r="N17" s="75" t="n">
        <x:v>5</x:v>
      </x:c>
      <x:c r="O17" s="75" t="n">
        <x:v>3.15</x:v>
      </x:c>
      <x:c r="P17" s="75" t="n">
        <x:v>0</x:v>
      </x:c>
      <x:c r="Q17" s="75" t="n">
        <x:v>1</x:v>
      </x:c>
      <x:c r="R17" s="75" t="n">
        <x:v>0.18</x:v>
      </x:c>
      <x:c r="S17" s="75" t="n">
        <x:v>0</x:v>
      </x:c>
      <x:c r="T17" s="75" t="n">
        <x:v>0</x:v>
      </x:c>
      <x:c r="U17" s="75" t="n">
        <x:v>0</x:v>
      </x:c>
      <x:c r="V17" s="75" t="n">
        <x:v>1</x:v>
      </x:c>
      <x:c r="W17" s="75" t="n">
        <x:v>1</x:v>
      </x:c>
      <x:c r="X17" s="75" t="n">
        <x:v>1</x:v>
      </x:c>
      <x:c r="Y17" s="75" t="n">
        <x:v>0</x:v>
      </x:c>
      <x:c r="Z17" s="75" t="n">
        <x:v>1</x:v>
      </x:c>
      <x:c r="AA17" s="75" t="str"/>
      <x:c r="AB17" s="77" t="n">
        <x:f>I17+J17*(1+K17)</x:f>
        <x:v>45</x:v>
      </x:c>
      <x:c r="AC17" s="78" t="n">
        <x:f>0.15*(AB17/MAX(0.01,VLOOKUP(C17,V2_Units!$A$4:$AH$13,23,FALSE)))+0.20*(L17/MAX(0.01,VLOOKUP(C17,V2_Units!$A$4:$AH$13,11,FALSE)))+0.05*(M17/MAX(0.01,VLOOKUP(C17,V2_Units!$A$4:$AH$13,12,FALSE)))+0.08*(N17/MAX(0.01,VLOOKUP(C17,V2_Units!$A$4:$AH$13,13,FALSE)))+0.07*((K17+1)/(VLOOKUP(C17,V2_Units!$A$4:$AH$13,10,FALSE)+1))+0.07*(O17/MAX(0.01,VLOOKUP(C17,V2_Units!$A$4:$AH$13,14,FALSE)))+0.10*((L17+P17)/MAX(0.01,VLOOKUP(C17,V2_Units!$A$4:$AH$13,11,FALSE)+VLOOKUP(C17,V2_Units!$A$4:$AH$13,15,FALSE)))+0.08*V17+0.05*(1+Y17)+0.15*(1+S17)</x:f>
        <x:v>1</x:v>
      </x:c>
      <x:c r="AD17" s="78" t="n">
        <x:f>1+S17*T17*(1-U17)</x:f>
        <x:v>1</x:v>
      </x:c>
      <x:c r="AE17" s="78" t="n">
        <x:f>AC17*AD17*V17*W17*X17*Z17</x:f>
        <x:v>1</x:v>
      </x:c>
      <x:c r="AF17" s="78" t="n">
        <x:f>E17*V3_Parameters!$F$4+F17*V3_Parameters!$F$5+G17*V3_Parameters!$F$6+H17*V3_Parameters!$F$7</x:f>
        <x:v>59.75</x:v>
      </x:c>
      <x:c r="AG17" s="78" t="n">
        <x:f>VLOOKUP(C17,V2_Units!$A$4:$AH$13,4,FALSE)*V3_Parameters!$F$4+VLOOKUP(C17,V2_Units!$A$4:$AH$13,5,FALSE)*V3_Parameters!$F$5+VLOOKUP(C17,V2_Units!$A$4:$AH$13,6,FALSE)*V3_Parameters!$F$6+VLOOKUP(C17,V2_Units!$A$4:$AH$13,7,FALSE)*V3_Parameters!$F$7</x:f>
        <x:v>59.75</x:v>
      </x:c>
      <x:c r="AH17" s="78" t="n">
        <x:f>AF17/MAX(0.01,AG17)</x:f>
        <x:v>1</x:v>
      </x:c>
      <x:c r="AI17" s="78" t="n">
        <x:f>AE17/MAX(0.01,AH17)</x:f>
        <x:v>1</x:v>
      </x:c>
      <x:c r="AJ17" s="77" t="str">
        <x:f>IF(AI17&lt;V3_Parameters!$F$8,"UNDER",IF(AI17&gt;V3_Parameters!$F$9,"OVER","OK"))</x:f>
        <x:v>OK</x:v>
      </x:c>
      <x:c r="AK17" s="77" t="str">
        <x:f>IF(S17*T17*(1-U17)&gt;0.08,"SKILL",IF(L17/MAX(0.01,VLOOKUP(C17,V2_Units!$A$4:$AH$13,11,FALSE))&gt;1.08,"DPS","COST"))</x:f>
        <x:v>COST</x:v>
      </x:c>
    </x:row>
    <x:row r="18">
      <x:c r="A18" s="75" t="str">
        <x:v>Custom Unit 15</x:v>
      </x:c>
      <x:c r="B18" s="75" t="str">
        <x:v>General DPS</x:v>
      </x:c>
      <x:c r="C18" s="75" t="str">
        <x:v>Marine</x:v>
      </x:c>
      <x:c r="D18" s="75" t="str">
        <x:v>Zealot</x:v>
      </x:c>
      <x:c r="E18" s="75" t="n">
        <x:v>50</x:v>
      </x:c>
      <x:c r="F18" s="75" t="n">
        <x:v>0</x:v>
      </x:c>
      <x:c r="G18" s="75" t="n">
        <x:v>1</x:v>
      </x:c>
      <x:c r="H18" s="75" t="n">
        <x:v>18</x:v>
      </x:c>
      <x:c r="I18" s="75" t="n">
        <x:v>45</x:v>
      </x:c>
      <x:c r="J18" s="75" t="n">
        <x:v>0</x:v>
      </x:c>
      <x:c r="K18" s="75" t="n">
        <x:v>0</x:v>
      </x:c>
      <x:c r="L18" s="75" t="n">
        <x:v>9.8</x:v>
      </x:c>
      <x:c r="M18" s="75" t="n">
        <x:v>9.8</x:v>
      </x:c>
      <x:c r="N18" s="75" t="n">
        <x:v>5</x:v>
      </x:c>
      <x:c r="O18" s="75" t="n">
        <x:v>3.15</x:v>
      </x:c>
      <x:c r="P18" s="75" t="n">
        <x:v>0</x:v>
      </x:c>
      <x:c r="Q18" s="75" t="n">
        <x:v>1</x:v>
      </x:c>
      <x:c r="R18" s="75" t="n">
        <x:v>0.18</x:v>
      </x:c>
      <x:c r="S18" s="75" t="n">
        <x:v>0</x:v>
      </x:c>
      <x:c r="T18" s="75" t="n">
        <x:v>0</x:v>
      </x:c>
      <x:c r="U18" s="75" t="n">
        <x:v>0</x:v>
      </x:c>
      <x:c r="V18" s="75" t="n">
        <x:v>1</x:v>
      </x:c>
      <x:c r="W18" s="75" t="n">
        <x:v>1</x:v>
      </x:c>
      <x:c r="X18" s="75" t="n">
        <x:v>1</x:v>
      </x:c>
      <x:c r="Y18" s="75" t="n">
        <x:v>0</x:v>
      </x:c>
      <x:c r="Z18" s="75" t="n">
        <x:v>1</x:v>
      </x:c>
      <x:c r="AA18" s="75" t="str"/>
      <x:c r="AB18" s="77" t="n">
        <x:f>I18+J18*(1+K18)</x:f>
        <x:v>45</x:v>
      </x:c>
      <x:c r="AC18" s="78" t="n">
        <x:f>0.15*(AB18/MAX(0.01,VLOOKUP(C18,V2_Units!$A$4:$AH$13,23,FALSE)))+0.20*(L18/MAX(0.01,VLOOKUP(C18,V2_Units!$A$4:$AH$13,11,FALSE)))+0.05*(M18/MAX(0.01,VLOOKUP(C18,V2_Units!$A$4:$AH$13,12,FALSE)))+0.08*(N18/MAX(0.01,VLOOKUP(C18,V2_Units!$A$4:$AH$13,13,FALSE)))+0.07*((K18+1)/(VLOOKUP(C18,V2_Units!$A$4:$AH$13,10,FALSE)+1))+0.07*(O18/MAX(0.01,VLOOKUP(C18,V2_Units!$A$4:$AH$13,14,FALSE)))+0.10*((L18+P18)/MAX(0.01,VLOOKUP(C18,V2_Units!$A$4:$AH$13,11,FALSE)+VLOOKUP(C18,V2_Units!$A$4:$AH$13,15,FALSE)))+0.08*V18+0.05*(1+Y18)+0.15*(1+S18)</x:f>
        <x:v>1</x:v>
      </x:c>
      <x:c r="AD18" s="78" t="n">
        <x:f>1+S18*T18*(1-U18)</x:f>
        <x:v>1</x:v>
      </x:c>
      <x:c r="AE18" s="78" t="n">
        <x:f>AC18*AD18*V18*W18*X18*Z18</x:f>
        <x:v>1</x:v>
      </x:c>
      <x:c r="AF18" s="78" t="n">
        <x:f>E18*V3_Parameters!$F$4+F18*V3_Parameters!$F$5+G18*V3_Parameters!$F$6+H18*V3_Parameters!$F$7</x:f>
        <x:v>59.75</x:v>
      </x:c>
      <x:c r="AG18" s="78" t="n">
        <x:f>VLOOKUP(C18,V2_Units!$A$4:$AH$13,4,FALSE)*V3_Parameters!$F$4+VLOOKUP(C18,V2_Units!$A$4:$AH$13,5,FALSE)*V3_Parameters!$F$5+VLOOKUP(C18,V2_Units!$A$4:$AH$13,6,FALSE)*V3_Parameters!$F$6+VLOOKUP(C18,V2_Units!$A$4:$AH$13,7,FALSE)*V3_Parameters!$F$7</x:f>
        <x:v>59.75</x:v>
      </x:c>
      <x:c r="AH18" s="78" t="n">
        <x:f>AF18/MAX(0.01,AG18)</x:f>
        <x:v>1</x:v>
      </x:c>
      <x:c r="AI18" s="78" t="n">
        <x:f>AE18/MAX(0.01,AH18)</x:f>
        <x:v>1</x:v>
      </x:c>
      <x:c r="AJ18" s="77" t="str">
        <x:f>IF(AI18&lt;V3_Parameters!$F$8,"UNDER",IF(AI18&gt;V3_Parameters!$F$9,"OVER","OK"))</x:f>
        <x:v>OK</x:v>
      </x:c>
      <x:c r="AK18" s="77" t="str">
        <x:f>IF(S18*T18*(1-U18)&gt;0.08,"SKILL",IF(L18/MAX(0.01,VLOOKUP(C18,V2_Units!$A$4:$AH$13,11,FALSE))&gt;1.08,"DPS","COST"))</x:f>
        <x:v>COST</x:v>
      </x:c>
    </x:row>
  </x:sheetData>
  <x:mergeCells>
    <x:mergeCell ref="A1:AK1"/>
  </x:mergeCells>
  <x:conditionalFormatting sqref="AI4:A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4:AJ18">
    <x:cfRule type="expression" dxfId="3" priority="2">
      <x:formula>AJ4="OVER"</x:formula>
    </x:cfRule>
    <x:cfRule type="expression" dxfId="4" priority="3">
      <x:formula>AJ4="UNDER"</x:formula>
    </x:cfRule>
    <x:cfRule type="expression" dxfId="5" priority="4">
      <x:formula>AJ4="OK"</x:formula>
    </x:cfRule>
  </x:conditionalFormatting>
  <x:dataValidations count="2">
    <x:dataValidation type="list" sqref="B4:B18">
      <x:formula1>"General DPS,Frontline,Anti-Armor,Mobile General,Swarm,Durable Assault,Ranged DPS,Premium Anti-Armor,Siege / AOE,Premium AOE"</x:formula1>
    </x:dataValidation>
    <x:dataValidation type="list" sqref="C4:D18">
      <x:formula1>"Marine,Marauder,Zealot,Stalker,Zergling,Roach,Hydralisk,Immortal,Siege Tank,Colossus"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68" t="str">
        <x:v>V3 Diagnosis — why the unit is strong/weak</x:v>
      </x:c>
    </x:row>
    <x:row r="3">
      <x:c r="A3" s="62" t="str">
        <x:v>Unit</x:v>
      </x:c>
      <x:c r="B3" s="62" t="str">
        <x:v>Benchmark</x:v>
      </x:c>
      <x:c r="C3" s="62" t="str">
        <x:v>BalanceScore</x:v>
      </x:c>
      <x:c r="D3" s="62" t="str">
        <x:v>Status</x:v>
      </x:c>
      <x:c r="E3" s="62" t="str">
        <x:v>StaticScore</x:v>
      </x:c>
      <x:c r="F3" s="62" t="str">
        <x:v>SkillFactor</x:v>
      </x:c>
      <x:c r="G3" s="62" t="str">
        <x:v>CostRatio</x:v>
      </x:c>
      <x:c r="H3" s="62" t="str">
        <x:v>Diagnosis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35" t="n">
        <x:f>V3_CustomUnits!AI4</x:f>
        <x:v>0.9267325675034485</x:v>
      </x:c>
      <x:c r="D4" s="35" t="str">
        <x:f>V3_CustomUnits!AJ4</x:f>
        <x:v>OK</x:v>
      </x:c>
      <x:c r="E4" s="35" t="n">
        <x:f>V3_CustomUnits!AC4</x:f>
        <x:v>1.1089753694581281</x:v>
      </x:c>
      <x:c r="F4" s="35" t="n">
        <x:f>V3_CustomUnits!AD4</x:f>
        <x:v>1.056</x:v>
      </x:c>
      <x:c r="G4" s="35" t="n">
        <x:f>V3_CustomUnits!AH4</x:f>
        <x:v>1.263157894736842</x:v>
      </x:c>
      <x:c r="H4" s="35" t="str">
        <x:f>IF(A4="","",IF(C4&gt;1.10,IF(F4&gt;1.05,"Mostly skill / scenario premium",IF(G4&lt;0.95,"Under-costed","Mostly static combat value")),IF(C4&lt;0.90,IF(G4&gt;1.05,"Over-priced","Combat value below benchmark"),"Within normal band")))</x:f>
        <x:v>Within normal band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35" t="n">
        <x:f>V3_CustomUnits!AI5</x:f>
        <x:v>1</x:v>
      </x:c>
      <x:c r="D5" s="35" t="str">
        <x:f>V3_CustomUnits!AJ5</x:f>
        <x:v>OK</x:v>
      </x:c>
      <x:c r="E5" s="35" t="n">
        <x:f>V3_CustomUnits!AC5</x:f>
        <x:v>1</x:v>
      </x:c>
      <x:c r="F5" s="35" t="n">
        <x:f>V3_CustomUnits!AD5</x:f>
        <x:v>1</x:v>
      </x:c>
      <x:c r="G5" s="35" t="n">
        <x:f>V3_CustomUnits!AH5</x:f>
        <x:v>1</x:v>
      </x:c>
      <x:c r="H5" s="35" t="str">
        <x:f>IF(A5="","",IF(C5&gt;1.10,IF(F5&gt;1.05,"Mostly skill / scenario premium",IF(G5&lt;0.95,"Under-costed","Mostly static combat value")),IF(C5&lt;0.90,IF(G5&gt;1.05,"Over-priced","Combat value below benchmark"),"Within normal band")))</x:f>
        <x:v>Within normal band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35" t="n">
        <x:f>V3_CustomUnits!AI6</x:f>
        <x:v>1</x:v>
      </x:c>
      <x:c r="D6" s="35" t="str">
        <x:f>V3_CustomUnits!AJ6</x:f>
        <x:v>OK</x:v>
      </x:c>
      <x:c r="E6" s="35" t="n">
        <x:f>V3_CustomUnits!AC6</x:f>
        <x:v>1</x:v>
      </x:c>
      <x:c r="F6" s="35" t="n">
        <x:f>V3_CustomUnits!AD6</x:f>
        <x:v>1</x:v>
      </x:c>
      <x:c r="G6" s="35" t="n">
        <x:f>V3_CustomUnits!AH6</x:f>
        <x:v>1</x:v>
      </x:c>
      <x:c r="H6" s="35" t="str">
        <x:f>IF(A6="","",IF(C6&gt;1.10,IF(F6&gt;1.05,"Mostly skill / scenario premium",IF(G6&lt;0.95,"Under-costed","Mostly static combat value")),IF(C6&lt;0.90,IF(G6&gt;1.05,"Over-priced","Combat value below benchmark"),"Within normal band")))</x:f>
        <x:v>Within normal band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35" t="n">
        <x:f>V3_CustomUnits!AI7</x:f>
        <x:v>1</x:v>
      </x:c>
      <x:c r="D7" s="35" t="str">
        <x:f>V3_CustomUnits!AJ7</x:f>
        <x:v>OK</x:v>
      </x:c>
      <x:c r="E7" s="35" t="n">
        <x:f>V3_CustomUnits!AC7</x:f>
        <x:v>1</x:v>
      </x:c>
      <x:c r="F7" s="35" t="n">
        <x:f>V3_CustomUnits!AD7</x:f>
        <x:v>1</x:v>
      </x:c>
      <x:c r="G7" s="35" t="n">
        <x:f>V3_CustomUnits!AH7</x:f>
        <x:v>1</x:v>
      </x:c>
      <x:c r="H7" s="35" t="str">
        <x:f>IF(A7="","",IF(C7&gt;1.10,IF(F7&gt;1.05,"Mostly skill / scenario premium",IF(G7&lt;0.95,"Under-costed","Mostly static combat value")),IF(C7&lt;0.90,IF(G7&gt;1.05,"Over-priced","Combat value below benchmark"),"Within normal band")))</x:f>
        <x:v>Within normal band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35" t="n">
        <x:f>V3_CustomUnits!AI8</x:f>
        <x:v>1</x:v>
      </x:c>
      <x:c r="D8" s="35" t="str">
        <x:f>V3_CustomUnits!AJ8</x:f>
        <x:v>OK</x:v>
      </x:c>
      <x:c r="E8" s="35" t="n">
        <x:f>V3_CustomUnits!AC8</x:f>
        <x:v>1</x:v>
      </x:c>
      <x:c r="F8" s="35" t="n">
        <x:f>V3_CustomUnits!AD8</x:f>
        <x:v>1</x:v>
      </x:c>
      <x:c r="G8" s="35" t="n">
        <x:f>V3_CustomUnits!AH8</x:f>
        <x:v>1</x:v>
      </x:c>
      <x:c r="H8" s="35" t="str">
        <x:f>IF(A8="","",IF(C8&gt;1.10,IF(F8&gt;1.05,"Mostly skill / scenario premium",IF(G8&lt;0.95,"Under-costed","Mostly static combat value")),IF(C8&lt;0.90,IF(G8&gt;1.05,"Over-priced","Combat value below benchmark"),"Within normal band")))</x:f>
        <x:v>Within normal band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35" t="n">
        <x:f>V3_CustomUnits!AI9</x:f>
        <x:v>1</x:v>
      </x:c>
      <x:c r="D9" s="35" t="str">
        <x:f>V3_CustomUnits!AJ9</x:f>
        <x:v>OK</x:v>
      </x:c>
      <x:c r="E9" s="35" t="n">
        <x:f>V3_CustomUnits!AC9</x:f>
        <x:v>1</x:v>
      </x:c>
      <x:c r="F9" s="35" t="n">
        <x:f>V3_CustomUnits!AD9</x:f>
        <x:v>1</x:v>
      </x:c>
      <x:c r="G9" s="35" t="n">
        <x:f>V3_CustomUnits!AH9</x:f>
        <x:v>1</x:v>
      </x:c>
      <x:c r="H9" s="35" t="str">
        <x:f>IF(A9="","",IF(C9&gt;1.10,IF(F9&gt;1.05,"Mostly skill / scenario premium",IF(G9&lt;0.95,"Under-costed","Mostly static combat value")),IF(C9&lt;0.90,IF(G9&gt;1.05,"Over-priced","Combat value below benchmark"),"Within normal band")))</x:f>
        <x:v>Within normal band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35" t="n">
        <x:f>V3_CustomUnits!AI10</x:f>
        <x:v>1</x:v>
      </x:c>
      <x:c r="D10" s="35" t="str">
        <x:f>V3_CustomUnits!AJ10</x:f>
        <x:v>OK</x:v>
      </x:c>
      <x:c r="E10" s="35" t="n">
        <x:f>V3_CustomUnits!AC10</x:f>
        <x:v>1</x:v>
      </x:c>
      <x:c r="F10" s="35" t="n">
        <x:f>V3_CustomUnits!AD10</x:f>
        <x:v>1</x:v>
      </x:c>
      <x:c r="G10" s="35" t="n">
        <x:f>V3_CustomUnits!AH10</x:f>
        <x:v>1</x:v>
      </x:c>
      <x:c r="H10" s="35" t="str">
        <x:f>IF(A10="","",IF(C10&gt;1.10,IF(F10&gt;1.05,"Mostly skill / scenario premium",IF(G10&lt;0.95,"Under-costed","Mostly static combat value")),IF(C10&lt;0.90,IF(G10&gt;1.05,"Over-priced","Combat value below benchmark"),"Within normal band")))</x:f>
        <x:v>Within normal band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35" t="n">
        <x:f>V3_CustomUnits!AI11</x:f>
        <x:v>1</x:v>
      </x:c>
      <x:c r="D11" s="35" t="str">
        <x:f>V3_CustomUnits!AJ11</x:f>
        <x:v>OK</x:v>
      </x:c>
      <x:c r="E11" s="35" t="n">
        <x:f>V3_CustomUnits!AC11</x:f>
        <x:v>1</x:v>
      </x:c>
      <x:c r="F11" s="35" t="n">
        <x:f>V3_CustomUnits!AD11</x:f>
        <x:v>1</x:v>
      </x:c>
      <x:c r="G11" s="35" t="n">
        <x:f>V3_CustomUnits!AH11</x:f>
        <x:v>1</x:v>
      </x:c>
      <x:c r="H11" s="35" t="str">
        <x:f>IF(A11="","",IF(C11&gt;1.10,IF(F11&gt;1.05,"Mostly skill / scenario premium",IF(G11&lt;0.95,"Under-costed","Mostly static combat value")),IF(C11&lt;0.90,IF(G11&gt;1.05,"Over-priced","Combat value below benchmark"),"Within normal band")))</x:f>
        <x:v>Within normal band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35" t="n">
        <x:f>V3_CustomUnits!AI12</x:f>
        <x:v>1</x:v>
      </x:c>
      <x:c r="D12" s="35" t="str">
        <x:f>V3_CustomUnits!AJ12</x:f>
        <x:v>OK</x:v>
      </x:c>
      <x:c r="E12" s="35" t="n">
        <x:f>V3_CustomUnits!AC12</x:f>
        <x:v>1</x:v>
      </x:c>
      <x:c r="F12" s="35" t="n">
        <x:f>V3_CustomUnits!AD12</x:f>
        <x:v>1</x:v>
      </x:c>
      <x:c r="G12" s="35" t="n">
        <x:f>V3_CustomUnits!AH12</x:f>
        <x:v>1</x:v>
      </x:c>
      <x:c r="H12" s="35" t="str">
        <x:f>IF(A12="","",IF(C12&gt;1.10,IF(F12&gt;1.05,"Mostly skill / scenario premium",IF(G12&lt;0.95,"Under-costed","Mostly static combat value")),IF(C12&lt;0.90,IF(G12&gt;1.05,"Over-priced","Combat value below benchmark"),"Within normal band")))</x:f>
        <x:v>Within normal band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35" t="n">
        <x:f>V3_CustomUnits!AI13</x:f>
        <x:v>1</x:v>
      </x:c>
      <x:c r="D13" s="35" t="str">
        <x:f>V3_CustomUnits!AJ13</x:f>
        <x:v>OK</x:v>
      </x:c>
      <x:c r="E13" s="35" t="n">
        <x:f>V3_CustomUnits!AC13</x:f>
        <x:v>1</x:v>
      </x:c>
      <x:c r="F13" s="35" t="n">
        <x:f>V3_CustomUnits!AD13</x:f>
        <x:v>1</x:v>
      </x:c>
      <x:c r="G13" s="35" t="n">
        <x:f>V3_CustomUnits!AH13</x:f>
        <x:v>1</x:v>
      </x:c>
      <x:c r="H13" s="35" t="str">
        <x:f>IF(A13="","",IF(C13&gt;1.10,IF(F13&gt;1.05,"Mostly skill / scenario premium",IF(G13&lt;0.95,"Under-costed","Mostly static combat value")),IF(C13&lt;0.90,IF(G13&gt;1.05,"Over-priced","Combat value below benchmark"),"Within normal band")))</x:f>
        <x:v>Within normal band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35" t="n">
        <x:f>V3_CustomUnits!AI14</x:f>
        <x:v>1</x:v>
      </x:c>
      <x:c r="D14" s="35" t="str">
        <x:f>V3_CustomUnits!AJ14</x:f>
        <x:v>OK</x:v>
      </x:c>
      <x:c r="E14" s="35" t="n">
        <x:f>V3_CustomUnits!AC14</x:f>
        <x:v>1</x:v>
      </x:c>
      <x:c r="F14" s="35" t="n">
        <x:f>V3_CustomUnits!AD14</x:f>
        <x:v>1</x:v>
      </x:c>
      <x:c r="G14" s="35" t="n">
        <x:f>V3_CustomUnits!AH14</x:f>
        <x:v>1</x:v>
      </x:c>
      <x:c r="H14" s="35" t="str">
        <x:f>IF(A14="","",IF(C14&gt;1.10,IF(F14&gt;1.05,"Mostly skill / scenario premium",IF(G14&lt;0.95,"Under-costed","Mostly static combat value")),IF(C14&lt;0.90,IF(G14&gt;1.05,"Over-priced","Combat value below benchmark"),"Within normal band")))</x:f>
        <x:v>Within normal band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35" t="n">
        <x:f>V3_CustomUnits!AI15</x:f>
        <x:v>1</x:v>
      </x:c>
      <x:c r="D15" s="35" t="str">
        <x:f>V3_CustomUnits!AJ15</x:f>
        <x:v>OK</x:v>
      </x:c>
      <x:c r="E15" s="35" t="n">
        <x:f>V3_CustomUnits!AC15</x:f>
        <x:v>1</x:v>
      </x:c>
      <x:c r="F15" s="35" t="n">
        <x:f>V3_CustomUnits!AD15</x:f>
        <x:v>1</x:v>
      </x:c>
      <x:c r="G15" s="35" t="n">
        <x:f>V3_CustomUnits!AH15</x:f>
        <x:v>1</x:v>
      </x:c>
      <x:c r="H15" s="35" t="str">
        <x:f>IF(A15="","",IF(C15&gt;1.10,IF(F15&gt;1.05,"Mostly skill / scenario premium",IF(G15&lt;0.95,"Under-costed","Mostly static combat value")),IF(C15&lt;0.90,IF(G15&gt;1.05,"Over-priced","Combat value below benchmark"),"Within normal band")))</x:f>
        <x:v>Within normal band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35" t="n">
        <x:f>V3_CustomUnits!AI16</x:f>
        <x:v>1</x:v>
      </x:c>
      <x:c r="D16" s="35" t="str">
        <x:f>V3_CustomUnits!AJ16</x:f>
        <x:v>OK</x:v>
      </x:c>
      <x:c r="E16" s="35" t="n">
        <x:f>V3_CustomUnits!AC16</x:f>
        <x:v>1</x:v>
      </x:c>
      <x:c r="F16" s="35" t="n">
        <x:f>V3_CustomUnits!AD16</x:f>
        <x:v>1</x:v>
      </x:c>
      <x:c r="G16" s="35" t="n">
        <x:f>V3_CustomUnits!AH16</x:f>
        <x:v>1</x:v>
      </x:c>
      <x:c r="H16" s="35" t="str">
        <x:f>IF(A16="","",IF(C16&gt;1.10,IF(F16&gt;1.05,"Mostly skill / scenario premium",IF(G16&lt;0.95,"Under-costed","Mostly static combat value")),IF(C16&lt;0.90,IF(G16&gt;1.05,"Over-priced","Combat value below benchmark"),"Within normal band")))</x:f>
        <x:v>Within normal band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35" t="n">
        <x:f>V3_CustomUnits!AI17</x:f>
        <x:v>1</x:v>
      </x:c>
      <x:c r="D17" s="35" t="str">
        <x:f>V3_CustomUnits!AJ17</x:f>
        <x:v>OK</x:v>
      </x:c>
      <x:c r="E17" s="35" t="n">
        <x:f>V3_CustomUnits!AC17</x:f>
        <x:v>1</x:v>
      </x:c>
      <x:c r="F17" s="35" t="n">
        <x:f>V3_CustomUnits!AD17</x:f>
        <x:v>1</x:v>
      </x:c>
      <x:c r="G17" s="35" t="n">
        <x:f>V3_CustomUnits!AH17</x:f>
        <x:v>1</x:v>
      </x:c>
      <x:c r="H17" s="35" t="str">
        <x:f>IF(A17="","",IF(C17&gt;1.10,IF(F17&gt;1.05,"Mostly skill / scenario premium",IF(G17&lt;0.95,"Under-costed","Mostly static combat value")),IF(C17&lt;0.90,IF(G17&gt;1.05,"Over-priced","Combat value below benchmark"),"Within normal band")))</x:f>
        <x:v>Within normal band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35" t="n">
        <x:f>V3_CustomUnits!AI18</x:f>
        <x:v>1</x:v>
      </x:c>
      <x:c r="D18" s="35" t="str">
        <x:f>V3_CustomUnits!AJ18</x:f>
        <x:v>OK</x:v>
      </x:c>
      <x:c r="E18" s="35" t="n">
        <x:f>V3_CustomUnits!AC18</x:f>
        <x:v>1</x:v>
      </x:c>
      <x:c r="F18" s="35" t="n">
        <x:f>V3_CustomUnits!AD18</x:f>
        <x:v>1</x:v>
      </x:c>
      <x:c r="G18" s="35" t="n">
        <x:f>V3_CustomUnits!AH18</x:f>
        <x:v>1</x:v>
      </x:c>
      <x:c r="H18" s="35" t="str">
        <x:f>IF(A18="","",IF(C18&gt;1.10,IF(F18&gt;1.05,"Mostly skill / scenario premium",IF(G18&lt;0.95,"Under-costed","Mostly static combat value")),IF(C18&lt;0.90,IF(G18&gt;1.05,"Over-priced","Combat value below benchmark"),"Within normal band")))</x:f>
        <x:v>Within normal band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32" hidden="0" customWidth="1"/>
    <x:col min="13" max="13" width="22" hidden="0" customWidth="1"/>
    <x:col min="14" max="14" width="30" hidden="0" customWidth="1"/>
  </x:cols>
  <x:sheetData>
    <x:row r="1">
      <x:c r="A1" s="71" t="str">
        <x:v>V3 Recommendations — correction alternatives</x:v>
      </x:c>
    </x:row>
    <x:row r="3">
      <x:c r="A3" s="62" t="str">
        <x:v>Unit</x:v>
      </x:c>
      <x:c r="B3" s="62" t="str">
        <x:v>Benchmark</x:v>
      </x:c>
      <x:c r="C3" s="62" t="str">
        <x:v>Score</x:v>
      </x:c>
      <x:c r="D3" s="62" t="str">
        <x:v>Status</x:v>
      </x:c>
      <x:c r="E3" s="62" t="str">
        <x:v>Primary Lever</x:v>
      </x:c>
      <x:c r="F3" s="62" t="str">
        <x:v>Target Scalar Cost</x:v>
      </x:c>
      <x:c r="G3" s="62" t="str">
        <x:v>Cost Delta %</x:v>
      </x:c>
      <x:c r="H3" s="62" t="str">
        <x:v>Target DPS G</x:v>
      </x:c>
      <x:c r="I3" s="62" t="str">
        <x:v>DPS Delta %</x:v>
      </x:c>
      <x:c r="J3" s="62" t="str">
        <x:v>Target EHP</x:v>
      </x:c>
      <x:c r="K3" s="62" t="str">
        <x:v>EHP Delta %</x:v>
      </x:c>
      <x:c r="L3" s="62" t="str">
        <x:v>Suggested Action</x:v>
      </x:c>
      <x:c r="M3" s="62" t="str">
        <x:v>Keep</x:v>
      </x:c>
      <x:c r="N3" s="62" t="str">
        <x:v>Source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79" t="n">
        <x:f>V3_CustomUnits!AI4</x:f>
        <x:v>0.9267325675034485</x:v>
      </x:c>
      <x:c r="D4" s="35" t="str">
        <x:f>V3_CustomUnits!AJ4</x:f>
        <x:v>OK</x:v>
      </x:c>
      <x:c r="E4" s="35" t="str">
        <x:f>V3_CustomUnits!AK4</x:f>
        <x:v>DPS</x:v>
      </x:c>
      <x:c r="F4" s="35" t="n">
        <x:f>V3_CustomUnits!AF4*V3_CustomUnits!AI4</x:f>
        <x:v>144.57028053053796</x:v>
      </x:c>
      <x:c r="G4" s="80" t="n">
        <x:f>F4/MAX(0.01,V3_CustomUnits!AF4)-1</x:f>
        <x:v>-0.07326743249655154</x:v>
      </x:c>
      <x:c r="H4" s="35" t="n">
        <x:f>MAX(0,V3_CustomUnits!L4/MAX(0.01,V3_CustomUnits!AI4))</x:f>
        <x:v>14.027779378705848</x:v>
      </x:c>
      <x:c r="I4" s="80" t="n">
        <x:f>H4/MAX(0.01,V3_CustomUnits!L4)-1</x:f>
        <x:v>0.0790599522081421</x:v>
      </x:c>
      <x:c r="J4" s="35" t="n">
        <x:f>MAX(0,V3_CustomUnits!AB4/MAX(0.01,V3_CustomUnits!AI4))</x:f>
        <x:v>178.04489211434347</x:v>
      </x:c>
      <x:c r="K4" s="80" t="n">
        <x:f>J4/MAX(0.01,V3_CustomUnits!AB4)-1</x:f>
        <x:v>0.07905995220814233</x:v>
      </x:c>
      <x:c r="L4" s="35" t="str">
        <x:f>IF(D4="OK","No mandatory change",IF(E4="SKILL","Reduce skill impact / uptime first",IF(E4="DPS","Reduce DPS first","Raise cost / build time first")))</x:f>
        <x:v>No mandatory change</x:v>
      </x:c>
      <x:c r="M4" s="35" t="str">
        <x:f>IF(E4="SKILL","Core HP / role",IF(E4="DPS","Skill / utility","Benchmark identity"))</x:f>
        <x:v>Skill / utility</x:v>
      </x:c>
      <x:c r="N4" s="35" t="str">
        <x:f>V3_CustomUnits!AA4</x:f>
        <x:v>Example / replace with source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79" t="n">
        <x:f>V3_CustomUnits!AI5</x:f>
        <x:v>1</x:v>
      </x:c>
      <x:c r="D5" s="35" t="str">
        <x:f>V3_CustomUnits!AJ5</x:f>
        <x:v>OK</x:v>
      </x:c>
      <x:c r="E5" s="35" t="str">
        <x:f>V3_CustomUnits!AK5</x:f>
        <x:v>COST</x:v>
      </x:c>
      <x:c r="F5" s="35" t="n">
        <x:f>V3_CustomUnits!AF5*V3_CustomUnits!AI5</x:f>
        <x:v>59.75</x:v>
      </x:c>
      <x:c r="G5" s="80" t="n">
        <x:f>F5/MAX(0.01,V3_CustomUnits!AF5)-1</x:f>
        <x:v>0</x:v>
      </x:c>
      <x:c r="H5" s="35" t="n">
        <x:f>MAX(0,V3_CustomUnits!L5/MAX(0.01,V3_CustomUnits!AI5))</x:f>
        <x:v>9.8</x:v>
      </x:c>
      <x:c r="I5" s="80" t="n">
        <x:f>H5/MAX(0.01,V3_CustomUnits!L5)-1</x:f>
        <x:v>0</x:v>
      </x:c>
      <x:c r="J5" s="35" t="n">
        <x:f>MAX(0,V3_CustomUnits!AB5/MAX(0.01,V3_CustomUnits!AI5))</x:f>
        <x:v>45</x:v>
      </x:c>
      <x:c r="K5" s="80" t="n">
        <x:f>J5/MAX(0.01,V3_CustomUnits!AB5)-1</x:f>
        <x:v>0</x:v>
      </x:c>
      <x:c r="L5" s="35" t="str">
        <x:f>IF(D5="OK","No mandatory change",IF(E5="SKILL","Reduce skill impact / uptime first",IF(E5="DPS","Reduce DPS first","Raise cost / build time first")))</x:f>
        <x:v>No mandatory change</x:v>
      </x:c>
      <x:c r="M5" s="35" t="str">
        <x:f>IF(E5="SKILL","Core HP / role",IF(E5="DPS","Skill / utility","Benchmark identity"))</x:f>
        <x:v>Benchmark identity</x:v>
      </x:c>
      <x:c r="N5" s="35" t="n">
        <x:f>V3_CustomUnits!AA5</x:f>
        <x:v>0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79" t="n">
        <x:f>V3_CustomUnits!AI6</x:f>
        <x:v>1</x:v>
      </x:c>
      <x:c r="D6" s="35" t="str">
        <x:f>V3_CustomUnits!AJ6</x:f>
        <x:v>OK</x:v>
      </x:c>
      <x:c r="E6" s="35" t="str">
        <x:f>V3_CustomUnits!AK6</x:f>
        <x:v>COST</x:v>
      </x:c>
      <x:c r="F6" s="35" t="n">
        <x:f>V3_CustomUnits!AF6*V3_CustomUnits!AI6</x:f>
        <x:v>59.75</x:v>
      </x:c>
      <x:c r="G6" s="80" t="n">
        <x:f>F6/MAX(0.01,V3_CustomUnits!AF6)-1</x:f>
        <x:v>0</x:v>
      </x:c>
      <x:c r="H6" s="35" t="n">
        <x:f>MAX(0,V3_CustomUnits!L6/MAX(0.01,V3_CustomUnits!AI6))</x:f>
        <x:v>9.8</x:v>
      </x:c>
      <x:c r="I6" s="80" t="n">
        <x:f>H6/MAX(0.01,V3_CustomUnits!L6)-1</x:f>
        <x:v>0</x:v>
      </x:c>
      <x:c r="J6" s="35" t="n">
        <x:f>MAX(0,V3_CustomUnits!AB6/MAX(0.01,V3_CustomUnits!AI6))</x:f>
        <x:v>45</x:v>
      </x:c>
      <x:c r="K6" s="80" t="n">
        <x:f>J6/MAX(0.01,V3_CustomUnits!AB6)-1</x:f>
        <x:v>0</x:v>
      </x:c>
      <x:c r="L6" s="35" t="str">
        <x:f>IF(D6="OK","No mandatory change",IF(E6="SKILL","Reduce skill impact / uptime first",IF(E6="DPS","Reduce DPS first","Raise cost / build time first")))</x:f>
        <x:v>No mandatory change</x:v>
      </x:c>
      <x:c r="M6" s="35" t="str">
        <x:f>IF(E6="SKILL","Core HP / role",IF(E6="DPS","Skill / utility","Benchmark identity"))</x:f>
        <x:v>Benchmark identity</x:v>
      </x:c>
      <x:c r="N6" s="35" t="n">
        <x:f>V3_CustomUnits!AA6</x:f>
        <x:v>0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79" t="n">
        <x:f>V3_CustomUnits!AI7</x:f>
        <x:v>1</x:v>
      </x:c>
      <x:c r="D7" s="35" t="str">
        <x:f>V3_CustomUnits!AJ7</x:f>
        <x:v>OK</x:v>
      </x:c>
      <x:c r="E7" s="35" t="str">
        <x:f>V3_CustomUnits!AK7</x:f>
        <x:v>COST</x:v>
      </x:c>
      <x:c r="F7" s="35" t="n">
        <x:f>V3_CustomUnits!AF7*V3_CustomUnits!AI7</x:f>
        <x:v>59.75</x:v>
      </x:c>
      <x:c r="G7" s="80" t="n">
        <x:f>F7/MAX(0.01,V3_CustomUnits!AF7)-1</x:f>
        <x:v>0</x:v>
      </x:c>
      <x:c r="H7" s="35" t="n">
        <x:f>MAX(0,V3_CustomUnits!L7/MAX(0.01,V3_CustomUnits!AI7))</x:f>
        <x:v>9.8</x:v>
      </x:c>
      <x:c r="I7" s="80" t="n">
        <x:f>H7/MAX(0.01,V3_CustomUnits!L7)-1</x:f>
        <x:v>0</x:v>
      </x:c>
      <x:c r="J7" s="35" t="n">
        <x:f>MAX(0,V3_CustomUnits!AB7/MAX(0.01,V3_CustomUnits!AI7))</x:f>
        <x:v>45</x:v>
      </x:c>
      <x:c r="K7" s="80" t="n">
        <x:f>J7/MAX(0.01,V3_CustomUnits!AB7)-1</x:f>
        <x:v>0</x:v>
      </x:c>
      <x:c r="L7" s="35" t="str">
        <x:f>IF(D7="OK","No mandatory change",IF(E7="SKILL","Reduce skill impact / uptime first",IF(E7="DPS","Reduce DPS first","Raise cost / build time first")))</x:f>
        <x:v>No mandatory change</x:v>
      </x:c>
      <x:c r="M7" s="35" t="str">
        <x:f>IF(E7="SKILL","Core HP / role",IF(E7="DPS","Skill / utility","Benchmark identity"))</x:f>
        <x:v>Benchmark identity</x:v>
      </x:c>
      <x:c r="N7" s="35" t="n">
        <x:f>V3_CustomUnits!AA7</x:f>
        <x:v>0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79" t="n">
        <x:f>V3_CustomUnits!AI8</x:f>
        <x:v>1</x:v>
      </x:c>
      <x:c r="D8" s="35" t="str">
        <x:f>V3_CustomUnits!AJ8</x:f>
        <x:v>OK</x:v>
      </x:c>
      <x:c r="E8" s="35" t="str">
        <x:f>V3_CustomUnits!AK8</x:f>
        <x:v>COST</x:v>
      </x:c>
      <x:c r="F8" s="35" t="n">
        <x:f>V3_CustomUnits!AF8*V3_CustomUnits!AI8</x:f>
        <x:v>59.75</x:v>
      </x:c>
      <x:c r="G8" s="80" t="n">
        <x:f>F8/MAX(0.01,V3_CustomUnits!AF8)-1</x:f>
        <x:v>0</x:v>
      </x:c>
      <x:c r="H8" s="35" t="n">
        <x:f>MAX(0,V3_CustomUnits!L8/MAX(0.01,V3_CustomUnits!AI8))</x:f>
        <x:v>9.8</x:v>
      </x:c>
      <x:c r="I8" s="80" t="n">
        <x:f>H8/MAX(0.01,V3_CustomUnits!L8)-1</x:f>
        <x:v>0</x:v>
      </x:c>
      <x:c r="J8" s="35" t="n">
        <x:f>MAX(0,V3_CustomUnits!AB8/MAX(0.01,V3_CustomUnits!AI8))</x:f>
        <x:v>45</x:v>
      </x:c>
      <x:c r="K8" s="80" t="n">
        <x:f>J8/MAX(0.01,V3_CustomUnits!AB8)-1</x:f>
        <x:v>0</x:v>
      </x:c>
      <x:c r="L8" s="35" t="str">
        <x:f>IF(D8="OK","No mandatory change",IF(E8="SKILL","Reduce skill impact / uptime first",IF(E8="DPS","Reduce DPS first","Raise cost / build time first")))</x:f>
        <x:v>No mandatory change</x:v>
      </x:c>
      <x:c r="M8" s="35" t="str">
        <x:f>IF(E8="SKILL","Core HP / role",IF(E8="DPS","Skill / utility","Benchmark identity"))</x:f>
        <x:v>Benchmark identity</x:v>
      </x:c>
      <x:c r="N8" s="35" t="n">
        <x:f>V3_CustomUnits!AA8</x:f>
        <x:v>0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79" t="n">
        <x:f>V3_CustomUnits!AI9</x:f>
        <x:v>1</x:v>
      </x:c>
      <x:c r="D9" s="35" t="str">
        <x:f>V3_CustomUnits!AJ9</x:f>
        <x:v>OK</x:v>
      </x:c>
      <x:c r="E9" s="35" t="str">
        <x:f>V3_CustomUnits!AK9</x:f>
        <x:v>COST</x:v>
      </x:c>
      <x:c r="F9" s="35" t="n">
        <x:f>V3_CustomUnits!AF9*V3_CustomUnits!AI9</x:f>
        <x:v>59.75</x:v>
      </x:c>
      <x:c r="G9" s="80" t="n">
        <x:f>F9/MAX(0.01,V3_CustomUnits!AF9)-1</x:f>
        <x:v>0</x:v>
      </x:c>
      <x:c r="H9" s="35" t="n">
        <x:f>MAX(0,V3_CustomUnits!L9/MAX(0.01,V3_CustomUnits!AI9))</x:f>
        <x:v>9.8</x:v>
      </x:c>
      <x:c r="I9" s="80" t="n">
        <x:f>H9/MAX(0.01,V3_CustomUnits!L9)-1</x:f>
        <x:v>0</x:v>
      </x:c>
      <x:c r="J9" s="35" t="n">
        <x:f>MAX(0,V3_CustomUnits!AB9/MAX(0.01,V3_CustomUnits!AI9))</x:f>
        <x:v>45</x:v>
      </x:c>
      <x:c r="K9" s="80" t="n">
        <x:f>J9/MAX(0.01,V3_CustomUnits!AB9)-1</x:f>
        <x:v>0</x:v>
      </x:c>
      <x:c r="L9" s="35" t="str">
        <x:f>IF(D9="OK","No mandatory change",IF(E9="SKILL","Reduce skill impact / uptime first",IF(E9="DPS","Reduce DPS first","Raise cost / build time first")))</x:f>
        <x:v>No mandatory change</x:v>
      </x:c>
      <x:c r="M9" s="35" t="str">
        <x:f>IF(E9="SKILL","Core HP / role",IF(E9="DPS","Skill / utility","Benchmark identity"))</x:f>
        <x:v>Benchmark identity</x:v>
      </x:c>
      <x:c r="N9" s="35" t="n">
        <x:f>V3_CustomUnits!AA9</x:f>
        <x:v>0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79" t="n">
        <x:f>V3_CustomUnits!AI10</x:f>
        <x:v>1</x:v>
      </x:c>
      <x:c r="D10" s="35" t="str">
        <x:f>V3_CustomUnits!AJ10</x:f>
        <x:v>OK</x:v>
      </x:c>
      <x:c r="E10" s="35" t="str">
        <x:f>V3_CustomUnits!AK10</x:f>
        <x:v>COST</x:v>
      </x:c>
      <x:c r="F10" s="35" t="n">
        <x:f>V3_CustomUnits!AF10*V3_CustomUnits!AI10</x:f>
        <x:v>59.75</x:v>
      </x:c>
      <x:c r="G10" s="80" t="n">
        <x:f>F10/MAX(0.01,V3_CustomUnits!AF10)-1</x:f>
        <x:v>0</x:v>
      </x:c>
      <x:c r="H10" s="35" t="n">
        <x:f>MAX(0,V3_CustomUnits!L10/MAX(0.01,V3_CustomUnits!AI10))</x:f>
        <x:v>9.8</x:v>
      </x:c>
      <x:c r="I10" s="80" t="n">
        <x:f>H10/MAX(0.01,V3_CustomUnits!L10)-1</x:f>
        <x:v>0</x:v>
      </x:c>
      <x:c r="J10" s="35" t="n">
        <x:f>MAX(0,V3_CustomUnits!AB10/MAX(0.01,V3_CustomUnits!AI10))</x:f>
        <x:v>45</x:v>
      </x:c>
      <x:c r="K10" s="80" t="n">
        <x:f>J10/MAX(0.01,V3_CustomUnits!AB10)-1</x:f>
        <x:v>0</x:v>
      </x:c>
      <x:c r="L10" s="35" t="str">
        <x:f>IF(D10="OK","No mandatory change",IF(E10="SKILL","Reduce skill impact / uptime first",IF(E10="DPS","Reduce DPS first","Raise cost / build time first")))</x:f>
        <x:v>No mandatory change</x:v>
      </x:c>
      <x:c r="M10" s="35" t="str">
        <x:f>IF(E10="SKILL","Core HP / role",IF(E10="DPS","Skill / utility","Benchmark identity"))</x:f>
        <x:v>Benchmark identity</x:v>
      </x:c>
      <x:c r="N10" s="35" t="n">
        <x:f>V3_CustomUnits!AA10</x:f>
        <x:v>0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79" t="n">
        <x:f>V3_CustomUnits!AI11</x:f>
        <x:v>1</x:v>
      </x:c>
      <x:c r="D11" s="35" t="str">
        <x:f>V3_CustomUnits!AJ11</x:f>
        <x:v>OK</x:v>
      </x:c>
      <x:c r="E11" s="35" t="str">
        <x:f>V3_CustomUnits!AK11</x:f>
        <x:v>COST</x:v>
      </x:c>
      <x:c r="F11" s="35" t="n">
        <x:f>V3_CustomUnits!AF11*V3_CustomUnits!AI11</x:f>
        <x:v>59.75</x:v>
      </x:c>
      <x:c r="G11" s="80" t="n">
        <x:f>F11/MAX(0.01,V3_CustomUnits!AF11)-1</x:f>
        <x:v>0</x:v>
      </x:c>
      <x:c r="H11" s="35" t="n">
        <x:f>MAX(0,V3_CustomUnits!L11/MAX(0.01,V3_CustomUnits!AI11))</x:f>
        <x:v>9.8</x:v>
      </x:c>
      <x:c r="I11" s="80" t="n">
        <x:f>H11/MAX(0.01,V3_CustomUnits!L11)-1</x:f>
        <x:v>0</x:v>
      </x:c>
      <x:c r="J11" s="35" t="n">
        <x:f>MAX(0,V3_CustomUnits!AB11/MAX(0.01,V3_CustomUnits!AI11))</x:f>
        <x:v>45</x:v>
      </x:c>
      <x:c r="K11" s="80" t="n">
        <x:f>J11/MAX(0.01,V3_CustomUnits!AB11)-1</x:f>
        <x:v>0</x:v>
      </x:c>
      <x:c r="L11" s="35" t="str">
        <x:f>IF(D11="OK","No mandatory change",IF(E11="SKILL","Reduce skill impact / uptime first",IF(E11="DPS","Reduce DPS first","Raise cost / build time first")))</x:f>
        <x:v>No mandatory change</x:v>
      </x:c>
      <x:c r="M11" s="35" t="str">
        <x:f>IF(E11="SKILL","Core HP / role",IF(E11="DPS","Skill / utility","Benchmark identity"))</x:f>
        <x:v>Benchmark identity</x:v>
      </x:c>
      <x:c r="N11" s="35" t="n">
        <x:f>V3_CustomUnits!AA11</x:f>
        <x:v>0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79" t="n">
        <x:f>V3_CustomUnits!AI12</x:f>
        <x:v>1</x:v>
      </x:c>
      <x:c r="D12" s="35" t="str">
        <x:f>V3_CustomUnits!AJ12</x:f>
        <x:v>OK</x:v>
      </x:c>
      <x:c r="E12" s="35" t="str">
        <x:f>V3_CustomUnits!AK12</x:f>
        <x:v>COST</x:v>
      </x:c>
      <x:c r="F12" s="35" t="n">
        <x:f>V3_CustomUnits!AF12*V3_CustomUnits!AI12</x:f>
        <x:v>59.75</x:v>
      </x:c>
      <x:c r="G12" s="80" t="n">
        <x:f>F12/MAX(0.01,V3_CustomUnits!AF12)-1</x:f>
        <x:v>0</x:v>
      </x:c>
      <x:c r="H12" s="35" t="n">
        <x:f>MAX(0,V3_CustomUnits!L12/MAX(0.01,V3_CustomUnits!AI12))</x:f>
        <x:v>9.8</x:v>
      </x:c>
      <x:c r="I12" s="80" t="n">
        <x:f>H12/MAX(0.01,V3_CustomUnits!L12)-1</x:f>
        <x:v>0</x:v>
      </x:c>
      <x:c r="J12" s="35" t="n">
        <x:f>MAX(0,V3_CustomUnits!AB12/MAX(0.01,V3_CustomUnits!AI12))</x:f>
        <x:v>45</x:v>
      </x:c>
      <x:c r="K12" s="80" t="n">
        <x:f>J12/MAX(0.01,V3_CustomUnits!AB12)-1</x:f>
        <x:v>0</x:v>
      </x:c>
      <x:c r="L12" s="35" t="str">
        <x:f>IF(D12="OK","No mandatory change",IF(E12="SKILL","Reduce skill impact / uptime first",IF(E12="DPS","Reduce DPS first","Raise cost / build time first")))</x:f>
        <x:v>No mandatory change</x:v>
      </x:c>
      <x:c r="M12" s="35" t="str">
        <x:f>IF(E12="SKILL","Core HP / role",IF(E12="DPS","Skill / utility","Benchmark identity"))</x:f>
        <x:v>Benchmark identity</x:v>
      </x:c>
      <x:c r="N12" s="35" t="n">
        <x:f>V3_CustomUnits!AA12</x:f>
        <x:v>0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79" t="n">
        <x:f>V3_CustomUnits!AI13</x:f>
        <x:v>1</x:v>
      </x:c>
      <x:c r="D13" s="35" t="str">
        <x:f>V3_CustomUnits!AJ13</x:f>
        <x:v>OK</x:v>
      </x:c>
      <x:c r="E13" s="35" t="str">
        <x:f>V3_CustomUnits!AK13</x:f>
        <x:v>COST</x:v>
      </x:c>
      <x:c r="F13" s="35" t="n">
        <x:f>V3_CustomUnits!AF13*V3_CustomUnits!AI13</x:f>
        <x:v>59.75</x:v>
      </x:c>
      <x:c r="G13" s="80" t="n">
        <x:f>F13/MAX(0.01,V3_CustomUnits!AF13)-1</x:f>
        <x:v>0</x:v>
      </x:c>
      <x:c r="H13" s="35" t="n">
        <x:f>MAX(0,V3_CustomUnits!L13/MAX(0.01,V3_CustomUnits!AI13))</x:f>
        <x:v>9.8</x:v>
      </x:c>
      <x:c r="I13" s="80" t="n">
        <x:f>H13/MAX(0.01,V3_CustomUnits!L13)-1</x:f>
        <x:v>0</x:v>
      </x:c>
      <x:c r="J13" s="35" t="n">
        <x:f>MAX(0,V3_CustomUnits!AB13/MAX(0.01,V3_CustomUnits!AI13))</x:f>
        <x:v>45</x:v>
      </x:c>
      <x:c r="K13" s="80" t="n">
        <x:f>J13/MAX(0.01,V3_CustomUnits!AB13)-1</x:f>
        <x:v>0</x:v>
      </x:c>
      <x:c r="L13" s="35" t="str">
        <x:f>IF(D13="OK","No mandatory change",IF(E13="SKILL","Reduce skill impact / uptime first",IF(E13="DPS","Reduce DPS first","Raise cost / build time first")))</x:f>
        <x:v>No mandatory change</x:v>
      </x:c>
      <x:c r="M13" s="35" t="str">
        <x:f>IF(E13="SKILL","Core HP / role",IF(E13="DPS","Skill / utility","Benchmark identity"))</x:f>
        <x:v>Benchmark identity</x:v>
      </x:c>
      <x:c r="N13" s="35" t="n">
        <x:f>V3_CustomUnits!AA13</x:f>
        <x:v>0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79" t="n">
        <x:f>V3_CustomUnits!AI14</x:f>
        <x:v>1</x:v>
      </x:c>
      <x:c r="D14" s="35" t="str">
        <x:f>V3_CustomUnits!AJ14</x:f>
        <x:v>OK</x:v>
      </x:c>
      <x:c r="E14" s="35" t="str">
        <x:f>V3_CustomUnits!AK14</x:f>
        <x:v>COST</x:v>
      </x:c>
      <x:c r="F14" s="35" t="n">
        <x:f>V3_CustomUnits!AF14*V3_CustomUnits!AI14</x:f>
        <x:v>59.75</x:v>
      </x:c>
      <x:c r="G14" s="80" t="n">
        <x:f>F14/MAX(0.01,V3_CustomUnits!AF14)-1</x:f>
        <x:v>0</x:v>
      </x:c>
      <x:c r="H14" s="35" t="n">
        <x:f>MAX(0,V3_CustomUnits!L14/MAX(0.01,V3_CustomUnits!AI14))</x:f>
        <x:v>9.8</x:v>
      </x:c>
      <x:c r="I14" s="80" t="n">
        <x:f>H14/MAX(0.01,V3_CustomUnits!L14)-1</x:f>
        <x:v>0</x:v>
      </x:c>
      <x:c r="J14" s="35" t="n">
        <x:f>MAX(0,V3_CustomUnits!AB14/MAX(0.01,V3_CustomUnits!AI14))</x:f>
        <x:v>45</x:v>
      </x:c>
      <x:c r="K14" s="80" t="n">
        <x:f>J14/MAX(0.01,V3_CustomUnits!AB14)-1</x:f>
        <x:v>0</x:v>
      </x:c>
      <x:c r="L14" s="35" t="str">
        <x:f>IF(D14="OK","No mandatory change",IF(E14="SKILL","Reduce skill impact / uptime first",IF(E14="DPS","Reduce DPS first","Raise cost / build time first")))</x:f>
        <x:v>No mandatory change</x:v>
      </x:c>
      <x:c r="M14" s="35" t="str">
        <x:f>IF(E14="SKILL","Core HP / role",IF(E14="DPS","Skill / utility","Benchmark identity"))</x:f>
        <x:v>Benchmark identity</x:v>
      </x:c>
      <x:c r="N14" s="35" t="n">
        <x:f>V3_CustomUnits!AA14</x:f>
        <x:v>0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79" t="n">
        <x:f>V3_CustomUnits!AI15</x:f>
        <x:v>1</x:v>
      </x:c>
      <x:c r="D15" s="35" t="str">
        <x:f>V3_CustomUnits!AJ15</x:f>
        <x:v>OK</x:v>
      </x:c>
      <x:c r="E15" s="35" t="str">
        <x:f>V3_CustomUnits!AK15</x:f>
        <x:v>COST</x:v>
      </x:c>
      <x:c r="F15" s="35" t="n">
        <x:f>V3_CustomUnits!AF15*V3_CustomUnits!AI15</x:f>
        <x:v>59.75</x:v>
      </x:c>
      <x:c r="G15" s="80" t="n">
        <x:f>F15/MAX(0.01,V3_CustomUnits!AF15)-1</x:f>
        <x:v>0</x:v>
      </x:c>
      <x:c r="H15" s="35" t="n">
        <x:f>MAX(0,V3_CustomUnits!L15/MAX(0.01,V3_CustomUnits!AI15))</x:f>
        <x:v>9.8</x:v>
      </x:c>
      <x:c r="I15" s="80" t="n">
        <x:f>H15/MAX(0.01,V3_CustomUnits!L15)-1</x:f>
        <x:v>0</x:v>
      </x:c>
      <x:c r="J15" s="35" t="n">
        <x:f>MAX(0,V3_CustomUnits!AB15/MAX(0.01,V3_CustomUnits!AI15))</x:f>
        <x:v>45</x:v>
      </x:c>
      <x:c r="K15" s="80" t="n">
        <x:f>J15/MAX(0.01,V3_CustomUnits!AB15)-1</x:f>
        <x:v>0</x:v>
      </x:c>
      <x:c r="L15" s="35" t="str">
        <x:f>IF(D15="OK","No mandatory change",IF(E15="SKILL","Reduce skill impact / uptime first",IF(E15="DPS","Reduce DPS first","Raise cost / build time first")))</x:f>
        <x:v>No mandatory change</x:v>
      </x:c>
      <x:c r="M15" s="35" t="str">
        <x:f>IF(E15="SKILL","Core HP / role",IF(E15="DPS","Skill / utility","Benchmark identity"))</x:f>
        <x:v>Benchmark identity</x:v>
      </x:c>
      <x:c r="N15" s="35" t="n">
        <x:f>V3_CustomUnits!AA15</x:f>
        <x:v>0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79" t="n">
        <x:f>V3_CustomUnits!AI16</x:f>
        <x:v>1</x:v>
      </x:c>
      <x:c r="D16" s="35" t="str">
        <x:f>V3_CustomUnits!AJ16</x:f>
        <x:v>OK</x:v>
      </x:c>
      <x:c r="E16" s="35" t="str">
        <x:f>V3_CustomUnits!AK16</x:f>
        <x:v>COST</x:v>
      </x:c>
      <x:c r="F16" s="35" t="n">
        <x:f>V3_CustomUnits!AF16*V3_CustomUnits!AI16</x:f>
        <x:v>59.75</x:v>
      </x:c>
      <x:c r="G16" s="80" t="n">
        <x:f>F16/MAX(0.01,V3_CustomUnits!AF16)-1</x:f>
        <x:v>0</x:v>
      </x:c>
      <x:c r="H16" s="35" t="n">
        <x:f>MAX(0,V3_CustomUnits!L16/MAX(0.01,V3_CustomUnits!AI16))</x:f>
        <x:v>9.8</x:v>
      </x:c>
      <x:c r="I16" s="80" t="n">
        <x:f>H16/MAX(0.01,V3_CustomUnits!L16)-1</x:f>
        <x:v>0</x:v>
      </x:c>
      <x:c r="J16" s="35" t="n">
        <x:f>MAX(0,V3_CustomUnits!AB16/MAX(0.01,V3_CustomUnits!AI16))</x:f>
        <x:v>45</x:v>
      </x:c>
      <x:c r="K16" s="80" t="n">
        <x:f>J16/MAX(0.01,V3_CustomUnits!AB16)-1</x:f>
        <x:v>0</x:v>
      </x:c>
      <x:c r="L16" s="35" t="str">
        <x:f>IF(D16="OK","No mandatory change",IF(E16="SKILL","Reduce skill impact / uptime first",IF(E16="DPS","Reduce DPS first","Raise cost / build time first")))</x:f>
        <x:v>No mandatory change</x:v>
      </x:c>
      <x:c r="M16" s="35" t="str">
        <x:f>IF(E16="SKILL","Core HP / role",IF(E16="DPS","Skill / utility","Benchmark identity"))</x:f>
        <x:v>Benchmark identity</x:v>
      </x:c>
      <x:c r="N16" s="35" t="n">
        <x:f>V3_CustomUnits!AA16</x:f>
        <x:v>0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79" t="n">
        <x:f>V3_CustomUnits!AI17</x:f>
        <x:v>1</x:v>
      </x:c>
      <x:c r="D17" s="35" t="str">
        <x:f>V3_CustomUnits!AJ17</x:f>
        <x:v>OK</x:v>
      </x:c>
      <x:c r="E17" s="35" t="str">
        <x:f>V3_CustomUnits!AK17</x:f>
        <x:v>COST</x:v>
      </x:c>
      <x:c r="F17" s="35" t="n">
        <x:f>V3_CustomUnits!AF17*V3_CustomUnits!AI17</x:f>
        <x:v>59.75</x:v>
      </x:c>
      <x:c r="G17" s="80" t="n">
        <x:f>F17/MAX(0.01,V3_CustomUnits!AF17)-1</x:f>
        <x:v>0</x:v>
      </x:c>
      <x:c r="H17" s="35" t="n">
        <x:f>MAX(0,V3_CustomUnits!L17/MAX(0.01,V3_CustomUnits!AI17))</x:f>
        <x:v>9.8</x:v>
      </x:c>
      <x:c r="I17" s="80" t="n">
        <x:f>H17/MAX(0.01,V3_CustomUnits!L17)-1</x:f>
        <x:v>0</x:v>
      </x:c>
      <x:c r="J17" s="35" t="n">
        <x:f>MAX(0,V3_CustomUnits!AB17/MAX(0.01,V3_CustomUnits!AI17))</x:f>
        <x:v>45</x:v>
      </x:c>
      <x:c r="K17" s="80" t="n">
        <x:f>J17/MAX(0.01,V3_CustomUnits!AB17)-1</x:f>
        <x:v>0</x:v>
      </x:c>
      <x:c r="L17" s="35" t="str">
        <x:f>IF(D17="OK","No mandatory change",IF(E17="SKILL","Reduce skill impact / uptime first",IF(E17="DPS","Reduce DPS first","Raise cost / build time first")))</x:f>
        <x:v>No mandatory change</x:v>
      </x:c>
      <x:c r="M17" s="35" t="str">
        <x:f>IF(E17="SKILL","Core HP / role",IF(E17="DPS","Skill / utility","Benchmark identity"))</x:f>
        <x:v>Benchmark identity</x:v>
      </x:c>
      <x:c r="N17" s="35" t="n">
        <x:f>V3_CustomUnits!AA17</x:f>
        <x:v>0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79" t="n">
        <x:f>V3_CustomUnits!AI18</x:f>
        <x:v>1</x:v>
      </x:c>
      <x:c r="D18" s="35" t="str">
        <x:f>V3_CustomUnits!AJ18</x:f>
        <x:v>OK</x:v>
      </x:c>
      <x:c r="E18" s="35" t="str">
        <x:f>V3_CustomUnits!AK18</x:f>
        <x:v>COST</x:v>
      </x:c>
      <x:c r="F18" s="35" t="n">
        <x:f>V3_CustomUnits!AF18*V3_CustomUnits!AI18</x:f>
        <x:v>59.75</x:v>
      </x:c>
      <x:c r="G18" s="80" t="n">
        <x:f>F18/MAX(0.01,V3_CustomUnits!AF18)-1</x:f>
        <x:v>0</x:v>
      </x:c>
      <x:c r="H18" s="35" t="n">
        <x:f>MAX(0,V3_CustomUnits!L18/MAX(0.01,V3_CustomUnits!AI18))</x:f>
        <x:v>9.8</x:v>
      </x:c>
      <x:c r="I18" s="80" t="n">
        <x:f>H18/MAX(0.01,V3_CustomUnits!L18)-1</x:f>
        <x:v>0</x:v>
      </x:c>
      <x:c r="J18" s="35" t="n">
        <x:f>MAX(0,V3_CustomUnits!AB18/MAX(0.01,V3_CustomUnits!AI18))</x:f>
        <x:v>45</x:v>
      </x:c>
      <x:c r="K18" s="80" t="n">
        <x:f>J18/MAX(0.01,V3_CustomUnits!AB18)-1</x:f>
        <x:v>0</x:v>
      </x:c>
      <x:c r="L18" s="35" t="str">
        <x:f>IF(D18="OK","No mandatory change",IF(E18="SKILL","Reduce skill impact / uptime first",IF(E18="DPS","Reduce DPS first","Raise cost / build time first")))</x:f>
        <x:v>No mandatory change</x:v>
      </x:c>
      <x:c r="M18" s="35" t="str">
        <x:f>IF(E18="SKILL","Core HP / role",IF(E18="DPS","Skill / utility","Benchmark identity"))</x:f>
        <x:v>Benchmark identity</x:v>
      </x:c>
      <x:c r="N18" s="35" t="n">
        <x:f>V3_CustomUnits!AA18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3" t="str">
        <x:v>Custom Commander Rebalancer V3 — Dashboard</x:v>
      </x:c>
    </x:row>
    <x:row r="3">
      <x:c r="A3" s="62" t="str">
        <x:v>Metric</x:v>
      </x:c>
      <x:c r="B3" s="62" t="str">
        <x:v>Value</x:v>
      </x:c>
      <x:c r="C3" s="35"/>
      <x:c r="D3" s="62" t="str">
        <x:v>Lever</x:v>
      </x:c>
      <x:c r="E3" s="62" t="str">
        <x:v>Count</x:v>
      </x:c>
      <x:c r="F3" s="62" t="str">
        <x:v>Meaning</x:v>
      </x:c>
      <x:c r="G3" s="35"/>
      <x:c r="H3" s="35"/>
    </x:row>
    <x:row r="4">
      <x:c r="A4" s="35" t="str">
        <x:v>Units loaded</x:v>
      </x:c>
      <x:c r="B4" s="35" t="n">
        <x:f>COUNTA(V3_CustomUnits!A4:A18)</x:f>
        <x:v>15</x:v>
      </x:c>
      <x:c r="C4" s="35"/>
      <x:c r="D4" s="35" t="str">
        <x:v>SKILL</x:v>
      </x:c>
      <x:c r="E4" s="35" t="n">
        <x:f>COUNTIF(V3_CustomUnits!AK4:AK18,"SKILL")</x:f>
        <x:v>0</x:v>
      </x:c>
      <x:c r="F4" s="35" t="str">
        <x:v>Ability / scenario value dominant</x:v>
      </x:c>
      <x:c r="G4" s="35"/>
      <x:c r="H4" s="35"/>
    </x:row>
    <x:row r="5">
      <x:c r="A5" s="35" t="str">
        <x:v>Within normal band</x:v>
      </x:c>
      <x:c r="B5" s="35" t="n">
        <x:f>COUNTIF(V3_CustomUnits!AJ4:AJ18,"OK")</x:f>
        <x:v>15</x:v>
      </x:c>
      <x:c r="C5" s="35"/>
      <x:c r="D5" s="35" t="str">
        <x:v>DPS</x:v>
      </x:c>
      <x:c r="E5" s="35" t="n">
        <x:f>COUNTIF(V3_CustomUnits!AK4:AK18,"DPS")</x:f>
        <x:v>1</x:v>
      </x:c>
      <x:c r="F5" s="35" t="str">
        <x:v>Base damage dominant</x:v>
      </x:c>
      <x:c r="G5" s="35"/>
      <x:c r="H5" s="35"/>
    </x:row>
    <x:row r="6">
      <x:c r="A6" s="35" t="str">
        <x:v>Over benchmark</x:v>
      </x:c>
      <x:c r="B6" s="35" t="n">
        <x:f>COUNTIF(V3_CustomUnits!AJ4:AJ18,"OVER")</x:f>
        <x:v>0</x:v>
      </x:c>
      <x:c r="C6" s="35"/>
      <x:c r="D6" s="35" t="str">
        <x:v>COST</x:v>
      </x:c>
      <x:c r="E6" s="35" t="n">
        <x:f>COUNTIF(V3_CustomUnits!AK4:AK18,"COST")</x:f>
        <x:v>14</x:v>
      </x:c>
      <x:c r="F6" s="35" t="str">
        <x:v>Economic / production correction dominant</x:v>
      </x:c>
      <x:c r="G6" s="35"/>
      <x:c r="H6" s="35"/>
    </x:row>
    <x:row r="7">
      <x:c r="A7" s="35" t="str">
        <x:v>Under benchmark</x:v>
      </x:c>
      <x:c r="B7" s="35" t="n">
        <x:f>COUNTIF(V3_CustomUnits!AJ4:AJ18,"UNDER")</x:f>
        <x:v>0</x:v>
      </x:c>
      <x:c r="C7" s="35"/>
      <x:c r="D7" s="35" t="str">
        <x:v>OK</x:v>
      </x:c>
      <x:c r="E7" s="35" t="n">
        <x:f>COUNTIF(V3_CustomUnits!AJ4:AJ18,"OK")</x:f>
        <x:v>15</x:v>
      </x:c>
      <x:c r="F7" s="35" t="str">
        <x:v>No mandatory correction</x:v>
      </x:c>
      <x:c r="G7" s="35"/>
      <x:c r="H7" s="35"/>
    </x:row>
    <x:row r="8">
      <x:c r="A8" s="35" t="str">
        <x:v>Average BalanceScore</x:v>
      </x:c>
      <x:c r="B8" s="79" t="n">
        <x:f>AVERAGE(V3_CustomUnits!AI4:AI18)</x:f>
        <x:v>0.9951155045002299</x:v>
      </x:c>
      <x:c r="C8" s="35"/>
      <x:c r="D8" s="35" t="str"/>
      <x:c r="E8" s="35" t="str"/>
      <x:c r="F8" s="35" t="str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 t="str">
        <x:v>Start with V3_CustomUnits. Then use V3_Diagnosis and V3_Recommendations. V2 remains the benchmark / scenario validation layer.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62" t="str">
        <x:v>Unit</x:v>
      </x:c>
      <x:c r="B13" s="62" t="str">
        <x:v>Benchmark</x:v>
      </x:c>
      <x:c r="C13" s="62" t="str">
        <x:v>Score</x:v>
      </x:c>
      <x:c r="D13" s="62" t="str">
        <x:v>Status</x:v>
      </x:c>
      <x:c r="E13" s="62" t="str">
        <x:v>Primary Lever</x:v>
      </x:c>
      <x:c r="F13" s="62" t="str">
        <x:v>Static</x:v>
      </x:c>
      <x:c r="G13" s="62" t="str">
        <x:v>Skill Factor</x:v>
      </x:c>
      <x:c r="H13" s="62" t="str">
        <x:v>Cost Ratio</x:v>
      </x:c>
    </x:row>
    <x:row r="14">
      <x:c r="A14" s="35" t="str">
        <x:f>V3_CustomUnits!A4</x:f>
        <x:v>Example Custom Heavy</x:v>
      </x:c>
      <x:c r="B14" s="35" t="str">
        <x:f>V3_CustomUnits!C4</x:f>
        <x:v>Roach</x:v>
      </x:c>
      <x:c r="C14" s="35" t="n">
        <x:f>V3_CustomUnits!AI4</x:f>
        <x:v>0.9267325675034485</x:v>
      </x:c>
      <x:c r="D14" s="35" t="str">
        <x:f>V3_CustomUnits!AJ4</x:f>
        <x:v>OK</x:v>
      </x:c>
      <x:c r="E14" s="35" t="str">
        <x:f>V3_CustomUnits!AK4</x:f>
        <x:v>DPS</x:v>
      </x:c>
      <x:c r="F14" s="35" t="n">
        <x:f>V3_CustomUnits!AC4</x:f>
        <x:v>1.1089753694581281</x:v>
      </x:c>
      <x:c r="G14" s="35" t="n">
        <x:f>V3_CustomUnits!AD4</x:f>
        <x:v>1.056</x:v>
      </x:c>
      <x:c r="H14" s="35" t="n">
        <x:f>V3_CustomUnits!AH4</x:f>
        <x:v>1.263157894736842</x:v>
      </x:c>
    </x:row>
    <x:row r="15">
      <x:c r="A15" s="35" t="str">
        <x:f>V3_CustomUnits!A5</x:f>
        <x:v>Custom Unit 2</x:v>
      </x:c>
      <x:c r="B15" s="35" t="str">
        <x:f>V3_CustomUnits!C5</x:f>
        <x:v>Marine</x:v>
      </x:c>
      <x:c r="C15" s="35" t="n">
        <x:f>V3_CustomUnits!AI5</x:f>
        <x:v>1</x:v>
      </x:c>
      <x:c r="D15" s="35" t="str">
        <x:f>V3_CustomUnits!AJ5</x:f>
        <x:v>OK</x:v>
      </x:c>
      <x:c r="E15" s="35" t="str">
        <x:f>V3_CustomUnits!AK5</x:f>
        <x:v>COST</x:v>
      </x:c>
      <x:c r="F15" s="35" t="n">
        <x:f>V3_CustomUnits!AC5</x:f>
        <x:v>1</x:v>
      </x:c>
      <x:c r="G15" s="35" t="n">
        <x:f>V3_CustomUnits!AD5</x:f>
        <x:v>1</x:v>
      </x:c>
      <x:c r="H15" s="35" t="n">
        <x:f>V3_CustomUnits!AH5</x:f>
        <x:v>1</x:v>
      </x:c>
    </x:row>
    <x:row r="16">
      <x:c r="A16" s="35" t="str">
        <x:f>V3_CustomUnits!A6</x:f>
        <x:v>Custom Unit 3</x:v>
      </x:c>
      <x:c r="B16" s="35" t="str">
        <x:f>V3_CustomUnits!C6</x:f>
        <x:v>Marine</x:v>
      </x:c>
      <x:c r="C16" s="35" t="n">
        <x:f>V3_CustomUnits!AI6</x:f>
        <x:v>1</x:v>
      </x:c>
      <x:c r="D16" s="35" t="str">
        <x:f>V3_CustomUnits!AJ6</x:f>
        <x:v>OK</x:v>
      </x:c>
      <x:c r="E16" s="35" t="str">
        <x:f>V3_CustomUnits!AK6</x:f>
        <x:v>COST</x:v>
      </x:c>
      <x:c r="F16" s="35" t="n">
        <x:f>V3_CustomUnits!AC6</x:f>
        <x:v>1</x:v>
      </x:c>
      <x:c r="G16" s="35" t="n">
        <x:f>V3_CustomUnits!AD6</x:f>
        <x:v>1</x:v>
      </x:c>
      <x:c r="H16" s="35" t="n">
        <x:f>V3_CustomUnits!AH6</x:f>
        <x:v>1</x:v>
      </x:c>
    </x:row>
    <x:row r="17">
      <x:c r="A17" s="35" t="str">
        <x:f>V3_CustomUnits!A7</x:f>
        <x:v>Custom Unit 4</x:v>
      </x:c>
      <x:c r="B17" s="35" t="str">
        <x:f>V3_CustomUnits!C7</x:f>
        <x:v>Marine</x:v>
      </x:c>
      <x:c r="C17" s="35" t="n">
        <x:f>V3_CustomUnits!AI7</x:f>
        <x:v>1</x:v>
      </x:c>
      <x:c r="D17" s="35" t="str">
        <x:f>V3_CustomUnits!AJ7</x:f>
        <x:v>OK</x:v>
      </x:c>
      <x:c r="E17" s="35" t="str">
        <x:f>V3_CustomUnits!AK7</x:f>
        <x:v>COST</x:v>
      </x:c>
      <x:c r="F17" s="35" t="n">
        <x:f>V3_CustomUnits!AC7</x:f>
        <x:v>1</x:v>
      </x:c>
      <x:c r="G17" s="35" t="n">
        <x:f>V3_CustomUnits!AD7</x:f>
        <x:v>1</x:v>
      </x:c>
      <x:c r="H17" s="35" t="n">
        <x:f>V3_CustomUnits!AH7</x:f>
        <x:v>1</x:v>
      </x:c>
    </x:row>
    <x:row r="18">
      <x:c r="A18" s="35" t="str">
        <x:f>V3_CustomUnits!A8</x:f>
        <x:v>Custom Unit 5</x:v>
      </x:c>
      <x:c r="B18" s="35" t="str">
        <x:f>V3_CustomUnits!C8</x:f>
        <x:v>Marine</x:v>
      </x:c>
      <x:c r="C18" s="35" t="n">
        <x:f>V3_CustomUnits!AI8</x:f>
        <x:v>1</x:v>
      </x:c>
      <x:c r="D18" s="35" t="str">
        <x:f>V3_CustomUnits!AJ8</x:f>
        <x:v>OK</x:v>
      </x:c>
      <x:c r="E18" s="35" t="str">
        <x:f>V3_CustomUnits!AK8</x:f>
        <x:v>COST</x:v>
      </x:c>
      <x:c r="F18" s="35" t="n">
        <x:f>V3_CustomUnits!AC8</x:f>
        <x:v>1</x:v>
      </x:c>
      <x:c r="G18" s="35" t="n">
        <x:f>V3_CustomUnits!AD8</x:f>
        <x:v>1</x:v>
      </x:c>
      <x:c r="H18" s="35" t="n">
        <x:f>V3_CustomUnits!AH8</x:f>
        <x:v>1</x:v>
      </x:c>
    </x:row>
    <x:row r="19">
      <x:c r="A19" s="35" t="str">
        <x:f>V3_CustomUnits!A9</x:f>
        <x:v>Custom Unit 6</x:v>
      </x:c>
      <x:c r="B19" s="35" t="str">
        <x:f>V3_CustomUnits!C9</x:f>
        <x:v>Marine</x:v>
      </x:c>
      <x:c r="C19" s="35" t="n">
        <x:f>V3_CustomUnits!AI9</x:f>
        <x:v>1</x:v>
      </x:c>
      <x:c r="D19" s="35" t="str">
        <x:f>V3_CustomUnits!AJ9</x:f>
        <x:v>OK</x:v>
      </x:c>
      <x:c r="E19" s="35" t="str">
        <x:f>V3_CustomUnits!AK9</x:f>
        <x:v>COST</x:v>
      </x:c>
      <x:c r="F19" s="35" t="n">
        <x:f>V3_CustomUnits!AC9</x:f>
        <x:v>1</x:v>
      </x:c>
      <x:c r="G19" s="35" t="n">
        <x:f>V3_CustomUnits!AD9</x:f>
        <x:v>1</x:v>
      </x:c>
      <x:c r="H19" s="35" t="n">
        <x:f>V3_CustomUnits!AH9</x:f>
        <x:v>1</x:v>
      </x:c>
    </x:row>
    <x:row r="20">
      <x:c r="A20" s="35" t="str">
        <x:f>V3_CustomUnits!A10</x:f>
        <x:v>Custom Unit 7</x:v>
      </x:c>
      <x:c r="B20" s="35" t="str">
        <x:f>V3_CustomUnits!C10</x:f>
        <x:v>Marine</x:v>
      </x:c>
      <x:c r="C20" s="35" t="n">
        <x:f>V3_CustomUnits!AI10</x:f>
        <x:v>1</x:v>
      </x:c>
      <x:c r="D20" s="35" t="str">
        <x:f>V3_CustomUnits!AJ10</x:f>
        <x:v>OK</x:v>
      </x:c>
      <x:c r="E20" s="35" t="str">
        <x:f>V3_CustomUnits!AK10</x:f>
        <x:v>COST</x:v>
      </x:c>
      <x:c r="F20" s="35" t="n">
        <x:f>V3_CustomUnits!AC10</x:f>
        <x:v>1</x:v>
      </x:c>
      <x:c r="G20" s="35" t="n">
        <x:f>V3_CustomUnits!AD10</x:f>
        <x:v>1</x:v>
      </x:c>
      <x:c r="H20" s="35" t="n">
        <x:f>V3_CustomUnits!AH10</x:f>
        <x:v>1</x:v>
      </x:c>
    </x:row>
    <x:row r="21">
      <x:c r="A21" s="35" t="str">
        <x:f>V3_CustomUnits!A11</x:f>
        <x:v>Custom Unit 8</x:v>
      </x:c>
      <x:c r="B21" s="35" t="str">
        <x:f>V3_CustomUnits!C11</x:f>
        <x:v>Marine</x:v>
      </x:c>
      <x:c r="C21" s="35" t="n">
        <x:f>V3_CustomUnits!AI11</x:f>
        <x:v>1</x:v>
      </x:c>
      <x:c r="D21" s="35" t="str">
        <x:f>V3_CustomUnits!AJ11</x:f>
        <x:v>OK</x:v>
      </x:c>
      <x:c r="E21" s="35" t="str">
        <x:f>V3_CustomUnits!AK11</x:f>
        <x:v>COST</x:v>
      </x:c>
      <x:c r="F21" s="35" t="n">
        <x:f>V3_CustomUnits!AC11</x:f>
        <x:v>1</x:v>
      </x:c>
      <x:c r="G21" s="35" t="n">
        <x:f>V3_CustomUnits!AD11</x:f>
        <x:v>1</x:v>
      </x:c>
      <x:c r="H21" s="35" t="n">
        <x:f>V3_CustomUnits!AH11</x:f>
        <x:v>1</x:v>
      </x:c>
    </x:row>
    <x:row r="22">
      <x:c r="A22" s="35" t="str">
        <x:f>V3_CustomUnits!A12</x:f>
        <x:v>Custom Unit 9</x:v>
      </x:c>
      <x:c r="B22" s="35" t="str">
        <x:f>V3_CustomUnits!C12</x:f>
        <x:v>Marine</x:v>
      </x:c>
      <x:c r="C22" s="35" t="n">
        <x:f>V3_CustomUnits!AI12</x:f>
        <x:v>1</x:v>
      </x:c>
      <x:c r="D22" s="35" t="str">
        <x:f>V3_CustomUnits!AJ12</x:f>
        <x:v>OK</x:v>
      </x:c>
      <x:c r="E22" s="35" t="str">
        <x:f>V3_CustomUnits!AK12</x:f>
        <x:v>COST</x:v>
      </x:c>
      <x:c r="F22" s="35" t="n">
        <x:f>V3_CustomUnits!AC12</x:f>
        <x:v>1</x:v>
      </x:c>
      <x:c r="G22" s="35" t="n">
        <x:f>V3_CustomUnits!AD12</x:f>
        <x:v>1</x:v>
      </x:c>
      <x:c r="H22" s="35" t="n">
        <x:f>V3_CustomUnits!AH12</x:f>
        <x:v>1</x:v>
      </x:c>
    </x:row>
    <x:row r="23">
      <x:c r="A23" s="35" t="str">
        <x:f>V3_CustomUnits!A13</x:f>
        <x:v>Custom Unit 10</x:v>
      </x:c>
      <x:c r="B23" s="35" t="str">
        <x:f>V3_CustomUnits!C13</x:f>
        <x:v>Marine</x:v>
      </x:c>
      <x:c r="C23" s="35" t="n">
        <x:f>V3_CustomUnits!AI13</x:f>
        <x:v>1</x:v>
      </x:c>
      <x:c r="D23" s="35" t="str">
        <x:f>V3_CustomUnits!AJ13</x:f>
        <x:v>OK</x:v>
      </x:c>
      <x:c r="E23" s="35" t="str">
        <x:f>V3_CustomUnits!AK13</x:f>
        <x:v>COST</x:v>
      </x:c>
      <x:c r="F23" s="35" t="n">
        <x:f>V3_CustomUnits!AC13</x:f>
        <x:v>1</x:v>
      </x:c>
      <x:c r="G23" s="35" t="n">
        <x:f>V3_CustomUnits!AD13</x:f>
        <x:v>1</x:v>
      </x:c>
      <x:c r="H23" s="35" t="n">
        <x:f>V3_CustomUnits!AH13</x:f>
        <x:v>1</x:v>
      </x:c>
    </x:row>
    <x:row r="24">
      <x:c r="A24" s="35" t="str">
        <x:f>V3_CustomUnits!A14</x:f>
        <x:v>Custom Unit 11</x:v>
      </x:c>
      <x:c r="B24" s="35" t="str">
        <x:f>V3_CustomUnits!C14</x:f>
        <x:v>Marine</x:v>
      </x:c>
      <x:c r="C24" s="35" t="n">
        <x:f>V3_CustomUnits!AI14</x:f>
        <x:v>1</x:v>
      </x:c>
      <x:c r="D24" s="35" t="str">
        <x:f>V3_CustomUnits!AJ14</x:f>
        <x:v>OK</x:v>
      </x:c>
      <x:c r="E24" s="35" t="str">
        <x:f>V3_CustomUnits!AK14</x:f>
        <x:v>COST</x:v>
      </x:c>
      <x:c r="F24" s="35" t="n">
        <x:f>V3_CustomUnits!AC14</x:f>
        <x:v>1</x:v>
      </x:c>
      <x:c r="G24" s="35" t="n">
        <x:f>V3_CustomUnits!AD14</x:f>
        <x:v>1</x:v>
      </x:c>
      <x:c r="H24" s="35" t="n">
        <x:f>V3_CustomUnits!AH14</x:f>
        <x:v>1</x:v>
      </x:c>
    </x:row>
    <x:row r="25">
      <x:c r="A25" s="35" t="str">
        <x:f>V3_CustomUnits!A15</x:f>
        <x:v>Custom Unit 12</x:v>
      </x:c>
      <x:c r="B25" s="35" t="str">
        <x:f>V3_CustomUnits!C15</x:f>
        <x:v>Marine</x:v>
      </x:c>
      <x:c r="C25" s="35" t="n">
        <x:f>V3_CustomUnits!AI15</x:f>
        <x:v>1</x:v>
      </x:c>
      <x:c r="D25" s="35" t="str">
        <x:f>V3_CustomUnits!AJ15</x:f>
        <x:v>OK</x:v>
      </x:c>
      <x:c r="E25" s="35" t="str">
        <x:f>V3_CustomUnits!AK15</x:f>
        <x:v>COST</x:v>
      </x:c>
      <x:c r="F25" s="35" t="n">
        <x:f>V3_CustomUnits!AC15</x:f>
        <x:v>1</x:v>
      </x:c>
      <x:c r="G25" s="35" t="n">
        <x:f>V3_CustomUnits!AD15</x:f>
        <x:v>1</x:v>
      </x:c>
      <x:c r="H25" s="35" t="n">
        <x:f>V3_CustomUnits!AH15</x:f>
        <x:v>1</x:v>
      </x:c>
    </x:row>
    <x:row r="26">
      <x:c r="A26" s="35" t="str">
        <x:f>V3_CustomUnits!A16</x:f>
        <x:v>Custom Unit 13</x:v>
      </x:c>
      <x:c r="B26" s="35" t="str">
        <x:f>V3_CustomUnits!C16</x:f>
        <x:v>Marine</x:v>
      </x:c>
      <x:c r="C26" s="35" t="n">
        <x:f>V3_CustomUnits!AI16</x:f>
        <x:v>1</x:v>
      </x:c>
      <x:c r="D26" s="35" t="str">
        <x:f>V3_CustomUnits!AJ16</x:f>
        <x:v>OK</x:v>
      </x:c>
      <x:c r="E26" s="35" t="str">
        <x:f>V3_CustomUnits!AK16</x:f>
        <x:v>COST</x:v>
      </x:c>
      <x:c r="F26" s="35" t="n">
        <x:f>V3_CustomUnits!AC16</x:f>
        <x:v>1</x:v>
      </x:c>
      <x:c r="G26" s="35" t="n">
        <x:f>V3_CustomUnits!AD16</x:f>
        <x:v>1</x:v>
      </x:c>
      <x:c r="H26" s="35" t="n">
        <x:f>V3_CustomUnits!AH16</x:f>
        <x:v>1</x:v>
      </x:c>
    </x:row>
    <x:row r="27">
      <x:c r="A27" s="35" t="str">
        <x:f>V3_CustomUnits!A17</x:f>
        <x:v>Custom Unit 14</x:v>
      </x:c>
      <x:c r="B27" s="35" t="str">
        <x:f>V3_CustomUnits!C17</x:f>
        <x:v>Marine</x:v>
      </x:c>
      <x:c r="C27" s="35" t="n">
        <x:f>V3_CustomUnits!AI17</x:f>
        <x:v>1</x:v>
      </x:c>
      <x:c r="D27" s="35" t="str">
        <x:f>V3_CustomUnits!AJ17</x:f>
        <x:v>OK</x:v>
      </x:c>
      <x:c r="E27" s="35" t="str">
        <x:f>V3_CustomUnits!AK17</x:f>
        <x:v>COST</x:v>
      </x:c>
      <x:c r="F27" s="35" t="n">
        <x:f>V3_CustomUnits!AC17</x:f>
        <x:v>1</x:v>
      </x:c>
      <x:c r="G27" s="35" t="n">
        <x:f>V3_CustomUnits!AD17</x:f>
        <x:v>1</x:v>
      </x:c>
      <x:c r="H27" s="35" t="n">
        <x:f>V3_CustomUnits!AH17</x:f>
        <x:v>1</x:v>
      </x:c>
    </x:row>
    <x:row r="28">
      <x:c r="A28" s="35" t="str">
        <x:f>V3_CustomUnits!A18</x:f>
        <x:v>Custom Unit 15</x:v>
      </x:c>
      <x:c r="B28" s="35" t="str">
        <x:f>V3_CustomUnits!C18</x:f>
        <x:v>Marine</x:v>
      </x:c>
      <x:c r="C28" s="35" t="n">
        <x:f>V3_CustomUnits!AI18</x:f>
        <x:v>1</x:v>
      </x:c>
      <x:c r="D28" s="35" t="str">
        <x:f>V3_CustomUnits!AJ18</x:f>
        <x:v>OK</x:v>
      </x:c>
      <x:c r="E28" s="35" t="str">
        <x:f>V3_CustomUnits!AK18</x:f>
        <x:v>COST</x:v>
      </x:c>
      <x:c r="F28" s="35" t="n">
        <x:f>V3_CustomUnits!AC18</x:f>
        <x:v>1</x:v>
      </x:c>
      <x:c r="G28" s="35" t="n">
        <x:f>V3_CustomUnits!AD18</x:f>
        <x:v>1</x:v>
      </x:c>
      <x:c r="H28" s="35" t="n">
        <x:f>V3_CustomUnits!AH18</x:f>
        <x:v>1</x:v>
      </x:c>
    </x:row>
  </x:sheetData>
  <x:mergeCells>
    <x:mergeCell ref="A1:J1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87" t="str">
        <x:v>Custom Commander Rebalancer V3.1 — Corrected Layer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Area</x:v>
      </x:c>
      <x:c r="B3" s="92" t="str">
        <x:v>Decision</x:v>
      </x:c>
    </x:row>
    <x:row r="4">
      <x:c r="A4" s="35" t="str">
        <x:v>Model role</x:v>
      </x:c>
      <x:c r="B4" s="35" t="str">
        <x:v>Screening + pre-simulation candidate generator; never an automatic balance authority.</x:v>
      </x:c>
    </x:row>
    <x:row r="5">
      <x:c r="A5" s="35" t="str">
        <x:v>EHP</x:v>
      </x:c>
      <x:c r="B5" s="35" t="str">
        <x:v>Armor affects HP only; shield is added separately and never receives armor mitigation.</x:v>
      </x:c>
    </x:row>
    <x:row r="6">
      <x:c r="A6" s="35" t="str">
        <x:v>Armor value</x:v>
      </x:c>
      <x:c r="B6" s="35" t="str">
        <x:v>Driven by incoming damage-per-hit; threat DPS is tracked separately for survival-time context.</x:v>
      </x:c>
    </x:row>
    <x:row r="7">
      <x:c r="A7" s="35" t="str">
        <x:v>Role / Skill</x:v>
      </x:c>
      <x:c r="B7" s="35" t="str">
        <x:v>Each enters the final model once as a multiplier; neither is part of StaticScore.</x:v>
      </x:c>
    </x:row>
    <x:row r="8">
      <x:c r="A8" s="35" t="str">
        <x:v>Scenario proxy</x:v>
      </x:c>
      <x:c r="B8" s="35" t="str">
        <x:v>ScenarioFactor is explicitly uncalibrated until combat simulation or replay telemetry exists.</x:v>
      </x:c>
    </x:row>
    <x:row r="9">
      <x:c r="A9" s="35" t="str">
        <x:v>Thresholds</x:v>
      </x:c>
      <x:c r="B9" s="35" t="str">
        <x:v>Archetype-specific bands replace the single global 0.90–1.10 rule.</x:v>
      </x:c>
    </x:row>
    <x:row r="10">
      <x:c r="A10" s="35" t="str">
        <x:v>Recommendations</x:v>
      </x:c>
      <x:c r="B10" s="35" t="str">
        <x:v>All changes are labeled PRE-SIMULATION CANDIDATE and are not auto-applied.</x:v>
      </x:c>
    </x:row>
    <x:row r="11">
      <x:c r="A11" s="35" t="str">
        <x:v>Scenario library</x:v>
      </x:c>
      <x:c r="B11" s="35" t="str">
        <x:v>12 standard scenarios are defined as test cases, not empirical evidence.</x:v>
      </x:c>
    </x:row>
    <x:row r="12">
      <x:c r="A12" s="35" t="str">
        <x:v>Frozen benchmark</x:v>
      </x:c>
      <x:c r="B12" s="35" t="str">
        <x:v>Legacy of the Void multiplayer / Faster-speed snapshot, frozen 2026-08-12.</x:v>
      </x:c>
    </x:row>
    <x:row r="13">
      <x:c r="A13" s="35" t="str">
        <x:v>Legacy sheets</x:v>
      </x:c>
      <x:c r="B13" s="35" t="str">
        <x:v>V1/V2/V3 retained unchanged for audit; V31 is the corrected layer.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0" hidden="0" customWidth="1"/>
    <x:col min="5" max="5" width="26" hidden="0" customWidth="1"/>
    <x:col min="6" max="6" width="20" hidden="0" customWidth="1"/>
    <x:col min="7" max="7" width="34" hidden="0" customWidth="1"/>
    <x:col min="8" max="8" width="16" hidden="0" customWidth="1"/>
    <x:col min="10" max="10" width="24" hidden="0" customWidth="1"/>
    <x:col min="11" max="11" width="14" hidden="0" customWidth="1"/>
    <x:col min="12" max="12" width="34" hidden="0" customWidth="1"/>
  </x:cols>
  <x:sheetData>
    <x:row r="1">
      <x:c r="A1" s="87" t="str">
        <x:v>V3.1 Parameters — corrected model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Static dimension</x:v>
      </x:c>
      <x:c r="B3" s="92" t="str">
        <x:v>Weight</x:v>
      </x:c>
      <x:c r="C3" s="92" t="str">
        <x:v>Notes</x:v>
      </x:c>
      <x:c r="E3" s="92" t="str">
        <x:v>Control</x:v>
      </x:c>
      <x:c r="F3" s="92" t="str">
        <x:v>Value</x:v>
      </x:c>
      <x:c r="G3" s="92" t="str">
        <x:v>Meaning</x:v>
      </x:c>
      <x:c r="H3" s="92" t="str">
        <x:v>Status</x:v>
      </x:c>
      <x:c r="J3" s="92" t="str">
        <x:v>Economic coefficient</x:v>
      </x:c>
      <x:c r="K3" s="92" t="str">
        <x:v>Value</x:v>
      </x:c>
      <x:c r="L3" s="92" t="str">
        <x:v>Meaning</x:v>
      </x:c>
    </x:row>
    <x:row r="4">
      <x:c r="A4" t="str">
        <x:v>EHP</x:v>
      </x:c>
      <x:c r="B4" t="n">
        <x:v>0.2</x:v>
      </x:c>
      <x:c r="C4" t="str">
        <x:v>Armor-aware HP durability + raw shield</x:v>
      </x:c>
      <x:c r="E4" t="str">
        <x:v>Threat DPS</x:v>
      </x:c>
      <x:c r="F4" s="94" t="n">
        <x:v>12</x:v>
      </x:c>
      <x:c r="G4" t="str">
        <x:v>Incoming sustained DPS; context only</x:v>
      </x:c>
      <x:c r="H4" t="str">
        <x:v>Input</x:v>
      </x:c>
      <x:c r="J4" t="str">
        <x:v>Mineral weight</x:v>
      </x:c>
      <x:c r="K4" t="n">
        <x:v>1</x:v>
      </x:c>
      <x:c r="L4" t="str">
        <x:v>Resource opportunity cost</x:v>
      </x:c>
    </x:row>
    <x:row r="5">
      <x:c r="A5" t="str">
        <x:v>Ground DPS</x:v>
      </x:c>
      <x:c r="B5" t="n">
        <x:v>0.3</x:v>
      </x:c>
      <x:c r="C5" t="str">
        <x:v>Expected ground output under reference target mix</x:v>
      </x:c>
      <x:c r="E5" t="str">
        <x:v>Threat Damage/Hit</x:v>
      </x:c>
      <x:c r="F5" s="94" t="n">
        <x:v>10</x:v>
      </x:c>
      <x:c r="G5" t="str">
        <x:v>Incoming raw damage per hit for armor-aware EHP</x:v>
      </x:c>
      <x:c r="H5" t="str">
        <x:v>Input</x:v>
      </x:c>
      <x:c r="J5" t="str">
        <x:v>Gas weight</x:v>
      </x:c>
      <x:c r="K5" t="n">
        <x:v>1.5</x:v>
      </x:c>
      <x:c r="L5" t="str">
        <x:v>Resource opportunity cost</x:v>
      </x:c>
    </x:row>
    <x:row r="6">
      <x:c r="A6" t="str">
        <x:v>Air DPS</x:v>
      </x:c>
      <x:c r="B6" t="n">
        <x:v>0.05</x:v>
      </x:c>
      <x:c r="C6" t="str">
        <x:v>Expected air output</x:v>
      </x:c>
      <x:c r="E6" t="str">
        <x:v>Reference Armored %</x:v>
      </x:c>
      <x:c r="F6" s="94" t="n">
        <x:v>0.35</x:v>
      </x:c>
      <x:c r="G6" t="str">
        <x:v>Reference target mix for static damage comparison</x:v>
      </x:c>
      <x:c r="H6" t="str">
        <x:v>Input</x:v>
      </x:c>
      <x:c r="J6" t="str">
        <x:v>Supply weight</x:v>
      </x:c>
      <x:c r="K6" t="n">
        <x:v>0.75</x:v>
      </x:c>
      <x:c r="L6" t="str">
        <x:v>System constraint cost</x:v>
      </x:c>
    </x:row>
    <x:row r="7">
      <x:c r="A7" t="str">
        <x:v>Range</x:v>
      </x:c>
      <x:c r="B7" t="n">
        <x:v>0.1</x:v>
      </x:c>
      <x:c r="C7" t="str">
        <x:v>Reach / firing window</x:v>
      </x:c>
      <x:c r="E7" t="str">
        <x:v>Role/Skill placement</x:v>
      </x:c>
      <x:c r="F7" t="str">
        <x:v>Final layer only</x:v>
      </x:c>
      <x:c r="G7" t="str">
        <x:v>Not included in StaticScore</x:v>
      </x:c>
      <x:c r="H7" t="str">
        <x:v>Fixed</x:v>
      </x:c>
      <x:c r="J7" t="str">
        <x:v>Build-time weight</x:v>
      </x:c>
      <x:c r="K7" t="n">
        <x:v>0.5</x:v>
      </x:c>
      <x:c r="L7" t="str">
        <x:v>Production throughput cost</x:v>
      </x:c>
    </x:row>
    <x:row r="8">
      <x:c r="A8" t="str">
        <x:v>Mobility</x:v>
      </x:c>
      <x:c r="B8" t="n">
        <x:v>0.1</x:v>
      </x:c>
      <x:c r="C8" t="str">
        <x:v>Speed / engagement control</x:v>
      </x:c>
      <x:c r="E8" t="str">
        <x:v>Scenario calibration</x:v>
      </x:c>
      <x:c r="F8" t="str">
        <x:v>UNVALIDATED</x:v>
      </x:c>
      <x:c r="G8" t="str">
        <x:v>Proxy factors only until simulation/replay</x:v>
      </x:c>
      <x:c r="H8" t="str">
        <x:v>Warning</x:v>
      </x:c>
    </x:row>
    <x:row r="9">
      <x:c r="A9" t="str">
        <x:v>Target &amp; AOE</x:v>
      </x:c>
      <x:c r="B9" t="n">
        <x:v>0.15</x:v>
      </x:c>
      <x:c r="C9" t="str">
        <x:v>AOE / target effectiveness</x:v>
      </x:c>
      <x:c r="E9" t="str">
        <x:v>Snapshot</x:v>
      </x:c>
      <x:c r="F9" t="str">
        <x:v>2026-08-12</x:v>
      </x:c>
      <x:c r="G9" t="str">
        <x:v>Frozen source date</x:v>
      </x:c>
      <x:c r="H9" t="str">
        <x:v>Fixed</x:v>
      </x:c>
    </x:row>
    <x:row r="10">
      <x:c r="A10" t="str">
        <x:v>Utility</x:v>
      </x:c>
      <x:c r="B10" t="n">
        <x:v>0.1</x:v>
      </x:c>
      <x:c r="C10" t="str">
        <x:v>Non-skill utility / passive contribution</x:v>
      </x:c>
      <x:c r="E10" t="str">
        <x:v>Speed basis</x:v>
      </x:c>
      <x:c r="F10" t="str">
        <x:v>Faster</x:v>
      </x:c>
      <x:c r="G10" t="str">
        <x:v>LOTV real-time values</x:v>
      </x:c>
      <x:c r="H10" t="str">
        <x:v>Fixed</x:v>
      </x:c>
    </x:row>
    <x:row r="13">
      <x:c r="A13" s="92" t="str">
        <x:v>Archetype</x:v>
      </x:c>
      <x:c r="B13" s="92" t="str">
        <x:v>Low</x:v>
      </x:c>
      <x:c r="C13" s="92" t="str">
        <x:v>High</x:v>
      </x:c>
    </x:row>
    <x:row r="14">
      <x:c r="A14" t="str">
        <x:v>General DPS</x:v>
      </x:c>
      <x:c r="B14" s="16" t="n">
        <x:v>0.95</x:v>
      </x:c>
      <x:c r="C14" s="16" t="n">
        <x:v>1.05</x:v>
      </x:c>
    </x:row>
    <x:row r="15">
      <x:c r="A15" t="str">
        <x:v>Frontline</x:v>
      </x:c>
      <x:c r="B15" s="16" t="n">
        <x:v>0.95</x:v>
      </x:c>
      <x:c r="C15" s="16" t="n">
        <x:v>1.05</x:v>
      </x:c>
    </x:row>
    <x:row r="16">
      <x:c r="A16" t="str">
        <x:v>Swarm</x:v>
      </x:c>
      <x:c r="B16" s="16" t="n">
        <x:v>0.95</x:v>
      </x:c>
      <x:c r="C16" s="16" t="n">
        <x:v>1.05</x:v>
      </x:c>
    </x:row>
    <x:row r="17">
      <x:c r="A17" t="str">
        <x:v>Durable Assault</x:v>
      </x:c>
      <x:c r="B17" s="16" t="n">
        <x:v>0.93</x:v>
      </x:c>
      <x:c r="C17" s="16" t="n">
        <x:v>1.07</x:v>
      </x:c>
    </x:row>
    <x:row r="18">
      <x:c r="A18" t="str">
        <x:v>Ranged DPS</x:v>
      </x:c>
      <x:c r="B18" s="16" t="n">
        <x:v>0.93</x:v>
      </x:c>
      <x:c r="C18" s="16" t="n">
        <x:v>1.07</x:v>
      </x:c>
    </x:row>
    <x:row r="19">
      <x:c r="A19" t="str">
        <x:v>Mobile General</x:v>
      </x:c>
      <x:c r="B19" s="16" t="n">
        <x:v>0.93</x:v>
      </x:c>
      <x:c r="C19" s="16" t="n">
        <x:v>1.07</x:v>
      </x:c>
    </x:row>
    <x:row r="20">
      <x:c r="A20" t="str">
        <x:v>Anti-Armor</x:v>
      </x:c>
      <x:c r="B20" s="16" t="n">
        <x:v>0.9</x:v>
      </x:c>
      <x:c r="C20" s="16" t="n">
        <x:v>1.1</x:v>
      </x:c>
    </x:row>
    <x:row r="21">
      <x:c r="A21" t="str">
        <x:v>Premium Anti-Armor</x:v>
      </x:c>
      <x:c r="B21" s="16" t="n">
        <x:v>0.88</x:v>
      </x:c>
      <x:c r="C21" s="16" t="n">
        <x:v>1.12</x:v>
      </x:c>
    </x:row>
    <x:row r="22">
      <x:c r="A22" t="str">
        <x:v>Premium AOE</x:v>
      </x:c>
      <x:c r="B22" s="16" t="n">
        <x:v>0.85</x:v>
      </x:c>
      <x:c r="C22" s="16" t="n">
        <x:v>1.15</x:v>
      </x:c>
    </x:row>
    <x:row r="23">
      <x:c r="A23" t="str">
        <x:v>Siege / AOE</x:v>
      </x:c>
      <x:c r="B23" s="16" t="n">
        <x:v>0.85</x:v>
      </x:c>
      <x:c r="C23" s="16" t="n">
        <x:v>1.15</x:v>
      </x:c>
    </x:row>
    <x:row r="24">
      <x:c r="A24" t="str">
        <x:v>General T1</x:v>
      </x:c>
      <x:c r="B24" s="16" t="n">
        <x:v>0.95</x:v>
      </x:c>
      <x:c r="C24" s="16" t="n">
        <x:v>1.05</x:v>
      </x:c>
    </x:row>
    <x:row r="25">
      <x:c r="A25" t="str">
        <x:v>General T2</x:v>
      </x:c>
      <x:c r="B25" s="16" t="n">
        <x:v>0.93</x:v>
      </x:c>
      <x:c r="C25" s="16" t="n">
        <x:v>1.07</x:v>
      </x:c>
    </x:row>
    <x:row r="26">
      <x:c r="A26" t="str">
        <x:v>Specialist</x:v>
      </x:c>
      <x:c r="B26" s="16" t="n">
        <x:v>0.9</x:v>
      </x:c>
      <x:c r="C26" s="16" t="n">
        <x:v>1.1</x:v>
      </x:c>
    </x:row>
    <x:row r="27">
      <x:c r="A27" t="str">
        <x:v>High-tech / expensive</x:v>
      </x:c>
      <x:c r="B27" s="16" t="n">
        <x:v>0.88</x:v>
      </x:c>
      <x:c r="C27" s="16" t="n">
        <x:v>1.12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55" hidden="0" customWidth="1"/>
  </x:cols>
  <x:sheetData>
    <x:row r="1">
      <x:c r="A1" s="87" t="str">
        <x:v>V3.1 Frozen SC2 Benchmark Snapshot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3">
      <x:c r="A3" s="92" t="str">
        <x:v>Unit</x:v>
      </x:c>
      <x:c r="B3" s="92" t="str">
        <x:v>Archetype</x:v>
      </x:c>
      <x:c r="C3" s="92" t="str">
        <x:v>M</x:v>
      </x:c>
      <x:c r="D3" s="92" t="str">
        <x:v>G</x:v>
      </x:c>
      <x:c r="E3" s="92" t="str">
        <x:v>Supply</x:v>
      </x:c>
      <x:c r="F3" s="92" t="str">
        <x:v>Build s</x:v>
      </x:c>
      <x:c r="G3" s="92" t="str">
        <x:v>HP</x:v>
      </x:c>
      <x:c r="H3" s="92" t="str">
        <x:v>Shield</x:v>
      </x:c>
      <x:c r="I3" s="92" t="str">
        <x:v>Armor</x:v>
      </x:c>
      <x:c r="J3" s="92" t="str">
        <x:v>DPS G</x:v>
      </x:c>
      <x:c r="K3" s="92" t="str">
        <x:v>DPS A</x:v>
      </x:c>
      <x:c r="L3" s="92" t="str">
        <x:v>Range</x:v>
      </x:c>
      <x:c r="M3" s="92" t="str">
        <x:v>Speed</x:v>
      </x:c>
      <x:c r="N3" s="92" t="str">
        <x:v>Armored Bonus DPS</x:v>
      </x:c>
      <x:c r="O3" s="92" t="str">
        <x:v>AOE Target Mult</x:v>
      </x:c>
      <x:c r="P3" s="92" t="str">
        <x:v>Collision Impact</x:v>
      </x:c>
      <x:c r="Q3" s="92" t="str">
        <x:v>Skill Impact</x:v>
      </x:c>
      <x:c r="R3" s="92" t="str">
        <x:v>Skill Uptime</x:v>
      </x:c>
      <x:c r="S3" s="92" t="str">
        <x:v>Skill Counterplay</x:v>
      </x:c>
      <x:c r="T3" s="92" t="str">
        <x:v>Tech</x:v>
      </x:c>
      <x:c r="U3" s="92" t="str">
        <x:v>Utility</x:v>
      </x:c>
      <x:c r="V3" s="92" t="str">
        <x:v>Legacy EHP</x:v>
      </x:c>
      <x:c r="W3" s="92" t="str">
        <x:v>Legacy StaticScore</x:v>
      </x:c>
      <x:c r="X3" s="92" t="str">
        <x:v>Source</x:v>
      </x:c>
    </x:row>
    <x:row r="4">
      <x:c r="A4" t="str">
        <x:v>Marine</x:v>
      </x:c>
      <x:c r="B4" t="str">
        <x:v>General DPS</x:v>
      </x:c>
      <x:c r="C4" t="n">
        <x:v>50</x:v>
      </x:c>
      <x:c r="D4" t="n">
        <x:v>0</x:v>
      </x:c>
      <x:c r="E4" t="n">
        <x:v>1</x:v>
      </x:c>
      <x:c r="F4" t="n">
        <x:v>18</x:v>
      </x:c>
      <x:c r="G4" t="n">
        <x:v>45</x:v>
      </x:c>
      <x:c r="H4" t="n">
        <x:v>0</x:v>
      </x:c>
      <x:c r="I4" t="n">
        <x:v>0</x:v>
      </x:c>
      <x:c r="J4" t="n">
        <x:v>9.8</x:v>
      </x:c>
      <x:c r="K4" t="n">
        <x:v>9.8</x:v>
      </x:c>
      <x:c r="L4" t="n">
        <x:v>5</x:v>
      </x:c>
      <x:c r="M4" t="n">
        <x:v>3.15</x:v>
      </x:c>
      <x:c r="N4" t="n">
        <x:v>0</x:v>
      </x:c>
      <x:c r="O4" t="n">
        <x:v>1</x:v>
      </x:c>
      <x:c r="P4" t="n">
        <x:v>0.18</x:v>
      </x:c>
      <x:c r="Q4" t="n">
        <x:v>0</x:v>
      </x:c>
      <x:c r="R4" t="n">
        <x:v>0</x:v>
      </x:c>
      <x:c r="S4" t="n">
        <x:v>0</x:v>
      </x:c>
      <x:c r="T4" t="str">
        <x:v>T1</x:v>
      </x:c>
      <x:c r="U4" t="n">
        <x:v>0</x:v>
      </x:c>
      <x:c r="V4" t="n">
        <x:v>45</x:v>
      </x:c>
      <x:c r="W4" t="n">
        <x:v>1</x:v>
      </x:c>
      <x:c r="X4" t="str">
        <x:v>https://liquipedia.net/starcraft2/Marine_%28Legacy_of_the_Void%29</x:v>
      </x:c>
    </x:row>
    <x:row r="5">
      <x:c r="A5" t="str">
        <x:v>Marauder</x:v>
      </x:c>
      <x:c r="B5" t="str">
        <x:v>Anti-Armor</x:v>
      </x:c>
      <x:c r="C5" t="n">
        <x:v>100</x:v>
      </x:c>
      <x:c r="D5" t="n">
        <x:v>25</x:v>
      </x:c>
      <x:c r="E5" t="n">
        <x:v>2</x:v>
      </x:c>
      <x:c r="F5" t="n">
        <x:v>21</x:v>
      </x:c>
      <x:c r="G5" t="n">
        <x:v>125</x:v>
      </x:c>
      <x:c r="H5" t="n">
        <x:v>0</x:v>
      </x:c>
      <x:c r="I5" t="n">
        <x:v>1</x:v>
      </x:c>
      <x:c r="J5" t="n">
        <x:v>9.3</x:v>
      </x:c>
      <x:c r="K5" t="n">
        <x:v>9.3</x:v>
      </x:c>
      <x:c r="L5" t="n">
        <x:v>6</x:v>
      </x:c>
      <x:c r="M5" t="n">
        <x:v>3.15</x:v>
      </x:c>
      <x:c r="N5" t="n">
        <x:v>9.3</x:v>
      </x:c>
      <x:c r="O5" t="n">
        <x:v>1</x:v>
      </x:c>
      <x:c r="P5" t="n">
        <x:v>0.28</x:v>
      </x:c>
      <x:c r="Q5" t="n">
        <x:v>0.12</x:v>
      </x:c>
      <x:c r="R5" t="n">
        <x:v>0.75</x:v>
      </x:c>
      <x:c r="S5" t="n">
        <x:v>0.2</x:v>
      </x:c>
      <x:c r="T5" t="str">
        <x:v>T1</x:v>
      </x:c>
      <x:c r="U5" t="n">
        <x:v>0</x:v>
      </x:c>
      <x:c r="V5" t="n">
        <x:v>125</x:v>
      </x:c>
      <x:c r="W5" t="n">
        <x:v>1.1108</x:v>
      </x:c>
      <x:c r="X5" t="str">
        <x:v>https://liquipedia.net/starcraft2/Marauder_%28Legacy_of_the_Void%29</x:v>
      </x:c>
    </x:row>
    <x:row r="6">
      <x:c r="A6" t="str">
        <x:v>Zealot</x:v>
      </x:c>
      <x:c r="B6" t="str">
        <x:v>Frontline</x:v>
      </x:c>
      <x:c r="C6" t="n">
        <x:v>100</x:v>
      </x:c>
      <x:c r="D6" t="n">
        <x:v>0</x:v>
      </x:c>
      <x:c r="E6" t="n">
        <x:v>2</x:v>
      </x:c>
      <x:c r="F6" t="n">
        <x:v>27</x:v>
      </x:c>
      <x:c r="G6" t="n">
        <x:v>100</x:v>
      </x:c>
      <x:c r="H6" t="n">
        <x:v>50</x:v>
      </x:c>
      <x:c r="I6" t="n">
        <x:v>1</x:v>
      </x:c>
      <x:c r="J6" t="n">
        <x:v>18.6</x:v>
      </x:c>
      <x:c r="K6" t="n">
        <x:v>0</x:v>
      </x:c>
      <x:c r="L6" t="n">
        <x:v>0.1</x:v>
      </x:c>
      <x:c r="M6" t="n">
        <x:v>3.15</x:v>
      </x:c>
      <x:c r="N6" t="n">
        <x:v>0</x:v>
      </x:c>
      <x:c r="O6" t="n">
        <x:v>1</x:v>
      </x:c>
      <x:c r="P6" t="n">
        <x:v>0.34</x:v>
      </x:c>
      <x:c r="Q6" t="n">
        <x:v>0.12</x:v>
      </x:c>
      <x:c r="R6" t="n">
        <x:v>0.7</x:v>
      </x:c>
      <x:c r="S6" t="n">
        <x:v>0.15</x:v>
      </x:c>
      <x:c r="T6" t="str">
        <x:v>T1</x:v>
      </x:c>
      <x:c r="U6" t="n">
        <x:v>0</x:v>
      </x:c>
      <x:c r="V6" t="n">
        <x:v>150</x:v>
      </x:c>
      <x:c r="W6" t="n">
        <x:v>1.01071</x:v>
      </x:c>
      <x:c r="X6" t="str">
        <x:v>https://liquipedia.net/starcraft2/Zealot</x:v>
      </x:c>
    </x:row>
    <x:row r="7">
      <x:c r="A7" t="str">
        <x:v>Stalker</x:v>
      </x:c>
      <x:c r="B7" t="str">
        <x:v>Mobile General</x:v>
      </x:c>
      <x:c r="C7" t="n">
        <x:v>125</x:v>
      </x:c>
      <x:c r="D7" t="n">
        <x:v>50</x:v>
      </x:c>
      <x:c r="E7" t="n">
        <x:v>2</x:v>
      </x:c>
      <x:c r="F7" t="n">
        <x:v>27</x:v>
      </x:c>
      <x:c r="G7" t="n">
        <x:v>80</x:v>
      </x:c>
      <x:c r="H7" t="n">
        <x:v>80</x:v>
      </x:c>
      <x:c r="I7" t="n">
        <x:v>1</x:v>
      </x:c>
      <x:c r="J7" t="n">
        <x:v>9.7</x:v>
      </x:c>
      <x:c r="K7" t="n">
        <x:v>9.7</x:v>
      </x:c>
      <x:c r="L7" t="n">
        <x:v>6</x:v>
      </x:c>
      <x:c r="M7" t="n">
        <x:v>4.13</x:v>
      </x:c>
      <x:c r="N7" t="n">
        <x:v>3.7</x:v>
      </x:c>
      <x:c r="O7" t="n">
        <x:v>1</x:v>
      </x:c>
      <x:c r="P7" t="n">
        <x:v>0.3</x:v>
      </x:c>
      <x:c r="Q7" t="n">
        <x:v>0.22</x:v>
      </x:c>
      <x:c r="R7" t="n">
        <x:v>0.6</x:v>
      </x:c>
      <x:c r="S7" t="n">
        <x:v>0.2</x:v>
      </x:c>
      <x:c r="T7" t="str">
        <x:v>T1</x:v>
      </x:c>
      <x:c r="U7" t="n">
        <x:v>0</x:v>
      </x:c>
      <x:c r="V7" t="n">
        <x:v>160</x:v>
      </x:c>
      <x:c r="W7" t="n">
        <x:v>1.0539843298969072</x:v>
      </x:c>
      <x:c r="X7" t="str">
        <x:v>https://liquipedia.net/starcraft2/Stalker_%28Legacy_of_the_Void%29</x:v>
      </x:c>
    </x:row>
    <x:row r="8">
      <x:c r="A8" t="str">
        <x:v>Zergling</x:v>
      </x:c>
      <x:c r="B8" t="str">
        <x:v>Swarm</x:v>
      </x:c>
      <x:c r="C8" t="n">
        <x:v>25</x:v>
      </x:c>
      <x:c r="D8" t="n">
        <x:v>0</x:v>
      </x:c>
      <x:c r="E8" t="n">
        <x:v>0.5</x:v>
      </x:c>
      <x:c r="F8" t="n">
        <x:v>17</x:v>
      </x:c>
      <x:c r="G8" t="n">
        <x:v>35</x:v>
      </x:c>
      <x:c r="H8" t="n">
        <x:v>0</x:v>
      </x:c>
      <x:c r="I8" t="n">
        <x:v>0</x:v>
      </x:c>
      <x:c r="J8" t="n">
        <x:v>10</x:v>
      </x:c>
      <x:c r="K8" t="n">
        <x:v>0</x:v>
      </x:c>
      <x:c r="L8" t="n">
        <x:v>0.1</x:v>
      </x:c>
      <x:c r="M8" t="n">
        <x:v>4.13</x:v>
      </x:c>
      <x:c r="N8" t="n">
        <x:v>0</x:v>
      </x:c>
      <x:c r="O8" t="n">
        <x:v>1</x:v>
      </x:c>
      <x:c r="P8" t="n">
        <x:v>0.12</x:v>
      </x:c>
      <x:c r="Q8" t="n">
        <x:v>0.05</x:v>
      </x:c>
      <x:c r="R8" t="n">
        <x:v>0.9</x:v>
      </x:c>
      <x:c r="S8" t="n">
        <x:v>0.1</x:v>
      </x:c>
      <x:c r="T8" t="str">
        <x:v>T1</x:v>
      </x:c>
      <x:c r="U8" t="n">
        <x:v>0</x:v>
      </x:c>
      <x:c r="V8" t="n">
        <x:v>35</x:v>
      </x:c>
      <x:c r="W8" t="n">
        <x:v>1.006075</x:v>
      </x:c>
      <x:c r="X8" t="str">
        <x:v>https://liquipedia.net/starcraft2/Zergling_%28Legacy_of_the_Void%29</x:v>
      </x:c>
    </x:row>
    <x:row r="9">
      <x:c r="A9" t="str">
        <x:v>Roach</x:v>
      </x:c>
      <x:c r="B9" t="str">
        <x:v>Durable Assault</x:v>
      </x:c>
      <x:c r="C9" t="n">
        <x:v>75</x:v>
      </x:c>
      <x:c r="D9" t="n">
        <x:v>25</x:v>
      </x:c>
      <x:c r="E9" t="n">
        <x:v>2</x:v>
      </x:c>
      <x:c r="F9" t="n">
        <x:v>19</x:v>
      </x:c>
      <x:c r="G9" t="n">
        <x:v>145</x:v>
      </x:c>
      <x:c r="H9" t="n">
        <x:v>0</x:v>
      </x:c>
      <x:c r="I9" t="n">
        <x:v>1</x:v>
      </x:c>
      <x:c r="J9" t="n">
        <x:v>11.2</x:v>
      </x:c>
      <x:c r="K9" t="n">
        <x:v>0</x:v>
      </x:c>
      <x:c r="L9" t="n">
        <x:v>4</x:v>
      </x:c>
      <x:c r="M9" t="n">
        <x:v>3.15</x:v>
      </x:c>
      <x:c r="N9" t="n">
        <x:v>0</x:v>
      </x:c>
      <x:c r="O9" t="n">
        <x:v>1</x:v>
      </x:c>
      <x:c r="P9" t="n">
        <x:v>0.34</x:v>
      </x:c>
      <x:c r="Q9" t="n">
        <x:v>0.05</x:v>
      </x:c>
      <x:c r="R9" t="n">
        <x:v>0.5</x:v>
      </x:c>
      <x:c r="S9" t="n">
        <x:v>0.1</x:v>
      </x:c>
      <x:c r="T9" t="str">
        <x:v>T1</x:v>
      </x:c>
      <x:c r="U9" t="n">
        <x:v>0</x:v>
      </x:c>
      <x:c r="V9" t="n">
        <x:v>145</x:v>
      </x:c>
      <x:c r="W9" t="n">
        <x:v>1.003375</x:v>
      </x:c>
      <x:c r="X9" t="str">
        <x:v>https://liquipedia.net/starcraft2/Roach_%28Legacy_of_the_Void%29</x:v>
      </x:c>
    </x:row>
    <x:row r="10">
      <x:c r="A10" t="str">
        <x:v>Hydralisk</x:v>
      </x:c>
      <x:c r="B10" t="str">
        <x:v>Ranged DPS</x:v>
      </x:c>
      <x:c r="C10" t="n">
        <x:v>100</x:v>
      </x:c>
      <x:c r="D10" t="n">
        <x:v>50</x:v>
      </x:c>
      <x:c r="E10" t="n">
        <x:v>2</x:v>
      </x:c>
      <x:c r="F10" t="n">
        <x:v>24</x:v>
      </x:c>
      <x:c r="G10" t="n">
        <x:v>90</x:v>
      </x:c>
      <x:c r="H10" t="n">
        <x:v>0</x:v>
      </x:c>
      <x:c r="I10" t="n">
        <x:v>0</x:v>
      </x:c>
      <x:c r="J10" t="n">
        <x:v>20.4</x:v>
      </x:c>
      <x:c r="K10" t="n">
        <x:v>20.4</x:v>
      </x:c>
      <x:c r="L10" t="n">
        <x:v>5</x:v>
      </x:c>
      <x:c r="M10" t="n">
        <x:v>3.15</x:v>
      </x:c>
      <x:c r="N10" t="n">
        <x:v>0</x:v>
      </x:c>
      <x:c r="O10" t="n">
        <x:v>1</x:v>
      </x:c>
      <x:c r="P10" t="n">
        <x:v>0.24</x:v>
      </x:c>
      <x:c r="Q10" t="n">
        <x:v>0.08</x:v>
      </x:c>
      <x:c r="R10" t="n">
        <x:v>0.6</x:v>
      </x:c>
      <x:c r="S10" t="n">
        <x:v>0.1</x:v>
      </x:c>
      <x:c r="T10" t="str">
        <x:v>T2</x:v>
      </x:c>
      <x:c r="U10" t="n">
        <x:v>0</x:v>
      </x:c>
      <x:c r="V10" t="n">
        <x:v>90</x:v>
      </x:c>
      <x:c r="W10" t="n">
        <x:v>1.00648</x:v>
      </x:c>
      <x:c r="X10" t="str">
        <x:v>https://liquipedia.net/starcraft2/Hydralisk_%28Legacy_of_the_Void%29</x:v>
      </x:c>
    </x:row>
    <x:row r="11">
      <x:c r="A11" t="str">
        <x:v>Immortal</x:v>
      </x:c>
      <x:c r="B11" t="str">
        <x:v>Premium Anti-Armor</x:v>
      </x:c>
      <x:c r="C11" t="n">
        <x:v>250</x:v>
      </x:c>
      <x:c r="D11" t="n">
        <x:v>100</x:v>
      </x:c>
      <x:c r="E11" t="n">
        <x:v>4</x:v>
      </x:c>
      <x:c r="F11" t="n">
        <x:v>39</x:v>
      </x:c>
      <x:c r="G11" t="n">
        <x:v>200</x:v>
      </x:c>
      <x:c r="H11" t="n">
        <x:v>100</x:v>
      </x:c>
      <x:c r="I11" t="n">
        <x:v>1</x:v>
      </x:c>
      <x:c r="J11" t="n">
        <x:v>17.5</x:v>
      </x:c>
      <x:c r="K11" t="n">
        <x:v>0</x:v>
      </x:c>
      <x:c r="L11" t="n">
        <x:v>6</x:v>
      </x:c>
      <x:c r="M11" t="n">
        <x:v>3.15</x:v>
      </x:c>
      <x:c r="N11" t="n">
        <x:v>26.25</x:v>
      </x:c>
      <x:c r="O11" t="n">
        <x:v>1</x:v>
      </x:c>
      <x:c r="P11" t="n">
        <x:v>0.55</x:v>
      </x:c>
      <x:c r="Q11" t="n">
        <x:v>0.2</x:v>
      </x:c>
      <x:c r="R11" t="n">
        <x:v>0.7</x:v>
      </x:c>
      <x:c r="S11" t="n">
        <x:v>0.15</x:v>
      </x:c>
      <x:c r="T11" t="str">
        <x:v>T2</x:v>
      </x:c>
      <x:c r="U11" t="n">
        <x:v>0</x:v>
      </x:c>
      <x:c r="V11" t="n">
        <x:v>300</x:v>
      </x:c>
      <x:c r="W11" t="n">
        <x:v>1.11785</x:v>
      </x:c>
      <x:c r="X11" t="str">
        <x:v>https://liquipedia.net/starcraft2/Immortal_%28Legacy_of_the_Void%29</x:v>
      </x:c>
    </x:row>
    <x:row r="12">
      <x:c r="A12" t="str">
        <x:v>Siege Tank</x:v>
      </x:c>
      <x:c r="B12" t="str">
        <x:v>Siege / AOE</x:v>
      </x:c>
      <x:c r="C12" t="n">
        <x:v>150</x:v>
      </x:c>
      <x:c r="D12" t="n">
        <x:v>125</x:v>
      </x:c>
      <x:c r="E12" t="n">
        <x:v>3</x:v>
      </x:c>
      <x:c r="F12" t="n">
        <x:v>32</x:v>
      </x:c>
      <x:c r="G12" t="n">
        <x:v>175</x:v>
      </x:c>
      <x:c r="H12" t="n">
        <x:v>0</x:v>
      </x:c>
      <x:c r="I12" t="n">
        <x:v>1</x:v>
      </x:c>
      <x:c r="J12" t="n">
        <x:v>20.27</x:v>
      </x:c>
      <x:c r="K12" t="n">
        <x:v>0</x:v>
      </x:c>
      <x:c r="L12" t="n">
        <x:v>7</x:v>
      </x:c>
      <x:c r="M12" t="n">
        <x:v>3.15</x:v>
      </x:c>
      <x:c r="N12" t="n">
        <x:v>0</x:v>
      </x:c>
      <x:c r="O12" t="n">
        <x:v>2.7</x:v>
      </x:c>
      <x:c r="P12" t="n">
        <x:v>0.52</x:v>
      </x:c>
      <x:c r="Q12" t="n">
        <x:v>0.28</x:v>
      </x:c>
      <x:c r="R12" t="n">
        <x:v>0.7</x:v>
      </x:c>
      <x:c r="S12" t="n">
        <x:v>0.25</x:v>
      </x:c>
      <x:c r="T12" t="str">
        <x:v>T2</x:v>
      </x:c>
      <x:c r="U12" t="n">
        <x:v>0</x:v>
      </x:c>
      <x:c r="V12" t="n">
        <x:v>175</x:v>
      </x:c>
      <x:c r="W12" t="n">
        <x:v>1.02205</x:v>
      </x:c>
      <x:c r="X12" t="str">
        <x:v>https://liquipedia.net/starcraft2/Siege_Tank_%28Legacy_of_the_Void%29</x:v>
      </x:c>
    </x:row>
    <x:row r="13">
      <x:c r="A13" t="str">
        <x:v>Colossus</x:v>
      </x:c>
      <x:c r="B13" t="str">
        <x:v>Premium AOE</x:v>
      </x:c>
      <x:c r="C13" t="n">
        <x:v>300</x:v>
      </x:c>
      <x:c r="D13" t="n">
        <x:v>200</x:v>
      </x:c>
      <x:c r="E13" t="n">
        <x:v>6</x:v>
      </x:c>
      <x:c r="F13" t="n">
        <x:v>54</x:v>
      </x:c>
      <x:c r="G13" t="n">
        <x:v>150</x:v>
      </x:c>
      <x:c r="H13" t="n">
        <x:v>200</x:v>
      </x:c>
      <x:c r="I13" t="n">
        <x:v>1</x:v>
      </x:c>
      <x:c r="J13" t="n">
        <x:v>18.7</x:v>
      </x:c>
      <x:c r="K13" t="n">
        <x:v>0</x:v>
      </x:c>
      <x:c r="L13" t="n">
        <x:v>7</x:v>
      </x:c>
      <x:c r="M13" t="n">
        <x:v>3.15</x:v>
      </x:c>
      <x:c r="N13" t="n">
        <x:v>0</x:v>
      </x:c>
      <x:c r="O13" t="n">
        <x:v>2.5</x:v>
      </x:c>
      <x:c r="P13" t="n">
        <x:v>0.6</x:v>
      </x:c>
      <x:c r="Q13" t="n">
        <x:v>0.22</x:v>
      </x:c>
      <x:c r="R13" t="n">
        <x:v>0.65</x:v>
      </x:c>
      <x:c r="S13" t="n">
        <x:v>0.3</x:v>
      </x:c>
      <x:c r="T13" t="str">
        <x:v>T3</x:v>
      </x:c>
      <x:c r="U13" t="n">
        <x:v>0</x:v>
      </x:c>
      <x:c r="V13" t="n">
        <x:v>350</x:v>
      </x:c>
      <x:c r="W13" t="n">
        <x:v>1.015015</x:v>
      </x:c>
      <x:c r="X13" t="str">
        <x:v>https://liquipedia.net/starcraft2/Colossus_%28Legacy_of_the_Void%29</x:v>
      </x:c>
    </x:row>
    <x:row r="15">
      <x:c r="A15" s="96" t="str">
        <x:v>Freeze</x:v>
      </x:c>
      <x:c r="B15" s="96" t="str">
        <x:v>LOTV multiplayer / Faster-speed real-time values</x:v>
      </x:c>
      <x:c r="C15" s="96" t="str">
        <x:v>Date</x:v>
      </x:c>
      <x:c r="D15" s="96" t="str">
        <x:v>2026-08-12</x:v>
      </x:c>
    </x:row>
    <x:row r="16">
      <x:c r="A16" s="96" t="str">
        <x:v>Marine 18 vs 25</x:v>
      </x:c>
      <x:c r="B16" s="96" t="str">
        <x:v>18s = Faster; 25s = Normal-speed display</x:v>
      </x:c>
      <x:c r="C16" s="96" t="str">
        <x:v>Source</x:v>
      </x:c>
      <x:c r="D16" s="96" t="str">
        <x:v>Liquipedia Game Speed + Marine</x:v>
      </x:c>
    </x:row>
    <x:row r="17">
      <x:c r="A17" s="96" t="str">
        <x:v>Marauder</x:v>
      </x:c>
      <x:c r="B17" s="96" t="str">
        <x:v>21s in current LOTV multiplayer page</x:v>
      </x:c>
      <x:c r="C17" s="96" t="str">
        <x:v>Source</x:v>
      </x:c>
      <x:c r="D17" s="96" t="str">
        <x:v>Liquipedia Marauder</x:v>
      </x:c>
    </x:row>
    <x:row r="18">
      <x:c r="A18" s="96" t="str">
        <x:v>Patch context</x:v>
      </x:c>
      <x:c r="B18" s="96" t="str">
        <x:v>Blizzard 5.0.16 + hotfix context retained; snapshot here is explicitly frozen.</x:v>
      </x:c>
      <x:c r="C18" s="96" t="str"/>
      <x:c r="D18" s="96" t="str"/>
    </x:row>
  </x:sheetData>
  <x:mergeCells>
    <x:mergeCell ref="A1:X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40" hidden="0" customWidth="1"/>
    <x:col min="13" max="13" width="18" hidden="0" customWidth="1"/>
  </x:cols>
  <x:sheetData>
    <x:row r="1">
      <x:c r="A1" s="87" t="str">
        <x:v>V3.1 Standard Scenario Library — 12 scenarios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3">
      <x:c r="A3" s="92" t="str">
        <x:v>ID</x:v>
      </x:c>
      <x:c r="B3" s="92" t="str">
        <x:v>Scenario</x:v>
      </x:c>
      <x:c r="C3" s="92" t="str">
        <x:v>Target Mix</x:v>
      </x:c>
      <x:c r="D3" s="92" t="str">
        <x:v>Armored %</x:v>
      </x:c>
      <x:c r="E3" s="92" t="str">
        <x:v>Air %</x:v>
      </x:c>
      <x:c r="F3" s="92" t="str">
        <x:v>Target Density</x:v>
      </x:c>
      <x:c r="G3" s="92" t="str">
        <x:v>Space Tightness</x:v>
      </x:c>
      <x:c r="H3" s="92" t="str">
        <x:v>AOE Counterplay</x:v>
      </x:c>
      <x:c r="I3" s="92" t="str">
        <x:v>Skill Counterplay</x:v>
      </x:c>
      <x:c r="J3" s="92" t="str">
        <x:v>Micro Difficulty</x:v>
      </x:c>
      <x:c r="K3" s="92" t="str">
        <x:v>Role Context</x:v>
      </x:c>
      <x:c r="L3" s="92" t="str">
        <x:v>Purpose</x:v>
      </x:c>
      <x:c r="M3" s="92" t="str">
        <x:v>Calibration</x:v>
      </x:c>
    </x:row>
    <x:row r="4">
      <x:c r="A4" t="str">
        <x:v>S01</x:v>
      </x:c>
      <x:c r="B4" t="str">
        <x:v>Open Field — Light Mass</x:v>
      </x:c>
      <x:c r="C4" t="str">
        <x:v>Light mass</x:v>
      </x:c>
      <x:c r="D4" s="16" t="n">
        <x:v>0.1</x:v>
      </x:c>
      <x:c r="E4" s="16" t="n">
        <x:v>0.2</x:v>
      </x:c>
      <x:c r="F4" s="16" t="n">
        <x:v>0.45</x:v>
      </x:c>
      <x:c r="G4" s="16" t="n">
        <x:v>0.2</x:v>
      </x:c>
      <x:c r="H4" s="16" t="n">
        <x:v>0.6</x:v>
      </x:c>
      <x:c r="I4" s="16" t="n">
        <x:v>0.35</x:v>
      </x:c>
      <x:c r="J4" s="16" t="n">
        <x:v>0.25</x:v>
      </x:c>
      <x:c r="K4" t="str">
        <x:v>General DPS / Swarm</x:v>
      </x:c>
      <x:c r="L4" t="str">
        <x:v>Baseline light-target ranged test</x:v>
      </x:c>
      <x:c r="M4" t="str">
        <x:v>UNCALIBRATED</x:v>
      </x:c>
    </x:row>
    <x:row r="5">
      <x:c r="A5" t="str">
        <x:v>S02</x:v>
      </x:c>
      <x:c r="B5" t="str">
        <x:v>Open Field — Armored</x:v>
      </x:c>
      <x:c r="C5" t="str">
        <x:v>Armored mass</x:v>
      </x:c>
      <x:c r="D5" s="16" t="n">
        <x:v>0.85</x:v>
      </x:c>
      <x:c r="E5" s="16" t="n">
        <x:v>0.15</x:v>
      </x:c>
      <x:c r="F5" s="16" t="n">
        <x:v>0.45</x:v>
      </x:c>
      <x:c r="G5" s="16" t="n">
        <x:v>0.2</x:v>
      </x:c>
      <x:c r="H5" s="16" t="n">
        <x:v>0.6</x:v>
      </x:c>
      <x:c r="I5" s="16" t="n">
        <x:v>0.35</x:v>
      </x:c>
      <x:c r="J5" s="16" t="n">
        <x:v>0.35</x:v>
      </x:c>
      <x:c r="K5" t="str">
        <x:v>Anti-Armor</x:v>
      </x:c>
      <x:c r="L5" t="str">
        <x:v>Baseline armored counter test</x:v>
      </x:c>
      <x:c r="M5" t="str">
        <x:v>UNCALIBRATED</x:v>
      </x:c>
    </x:row>
    <x:row r="6">
      <x:c r="A6" t="str">
        <x:v>S03</x:v>
      </x:c>
      <x:c r="B6" t="str">
        <x:v>Open Field — Mixed</x:v>
      </x:c>
      <x:c r="C6" t="str">
        <x:v>Mixed</x:v>
      </x:c>
      <x:c r="D6" s="16" t="n">
        <x:v>0.45</x:v>
      </x:c>
      <x:c r="E6" s="16" t="n">
        <x:v>0.25</x:v>
      </x:c>
      <x:c r="F6" s="16" t="n">
        <x:v>0.5</x:v>
      </x:c>
      <x:c r="G6" s="16" t="n">
        <x:v>0.3</x:v>
      </x:c>
      <x:c r="H6" s="16" t="n">
        <x:v>0.55</x:v>
      </x:c>
      <x:c r="I6" s="16" t="n">
        <x:v>0.35</x:v>
      </x:c>
      <x:c r="J6" s="16" t="n">
        <x:v>0.35</x:v>
      </x:c>
      <x:c r="K6" t="str">
        <x:v>General</x:v>
      </x:c>
      <x:c r="L6" t="str">
        <x:v>General-purpose reference</x:v>
      </x:c>
      <x:c r="M6" t="str">
        <x:v>UNCALIBRATED</x:v>
      </x:c>
    </x:row>
    <x:row r="7">
      <x:c r="A7" t="str">
        <x:v>S04</x:v>
      </x:c>
      <x:c r="B7" t="str">
        <x:v>Narrow Choke — Melee</x:v>
      </x:c>
      <x:c r="C7" t="str">
        <x:v>Frontline</x:v>
      </x:c>
      <x:c r="D7" s="16" t="n">
        <x:v>0.35</x:v>
      </x:c>
      <x:c r="E7" s="16" t="n">
        <x:v>0.1</x:v>
      </x:c>
      <x:c r="F7" s="16" t="n">
        <x:v>0.85</x:v>
      </x:c>
      <x:c r="G7" s="16" t="n">
        <x:v>0.85</x:v>
      </x:c>
      <x:c r="H7" s="16" t="n">
        <x:v>0.25</x:v>
      </x:c>
      <x:c r="I7" s="16" t="n">
        <x:v>0.4</x:v>
      </x:c>
      <x:c r="J7" s="16" t="n">
        <x:v>0.45</x:v>
      </x:c>
      <x:c r="K7" t="str">
        <x:v>Frontline / AOE</x:v>
      </x:c>
      <x:c r="L7" t="str">
        <x:v>Frontline saturation test</x:v>
      </x:c>
      <x:c r="M7" t="str">
        <x:v>UNCALIBRATED</x:v>
      </x:c>
    </x:row>
    <x:row r="8">
      <x:c r="A8" t="str">
        <x:v>S05</x:v>
      </x:c>
      <x:c r="B8" t="str">
        <x:v>Narrow Choke — Ranged</x:v>
      </x:c>
      <x:c r="C8" t="str">
        <x:v>Ranged</x:v>
      </x:c>
      <x:c r="D8" s="16" t="n">
        <x:v>0.5</x:v>
      </x:c>
      <x:c r="E8" s="16" t="n">
        <x:v>0.2</x:v>
      </x:c>
      <x:c r="F8" s="16" t="n">
        <x:v>0.75</x:v>
      </x:c>
      <x:c r="G8" s="16" t="n">
        <x:v>0.8</x:v>
      </x:c>
      <x:c r="H8" s="16" t="n">
        <x:v>0.3</x:v>
      </x:c>
      <x:c r="I8" s="16" t="n">
        <x:v>0.35</x:v>
      </x:c>
      <x:c r="J8" s="16" t="n">
        <x:v>0.35</x:v>
      </x:c>
      <x:c r="K8" t="str">
        <x:v>Ranged / Siege</x:v>
      </x:c>
      <x:c r="L8" t="str">
        <x:v>Constrained firing lanes</x:v>
      </x:c>
      <x:c r="M8" t="str">
        <x:v>UNCALIBRATED</x:v>
      </x:c>
    </x:row>
    <x:row r="9">
      <x:c r="A9" t="str">
        <x:v>S06</x:v>
      </x:c>
      <x:c r="B9" t="str">
        <x:v>Tank Line</x:v>
      </x:c>
      <x:c r="C9" t="str">
        <x:v>Mixed Armored</x:v>
      </x:c>
      <x:c r="D9" s="16" t="n">
        <x:v>0.65</x:v>
      </x:c>
      <x:c r="E9" s="16" t="n">
        <x:v>0.15</x:v>
      </x:c>
      <x:c r="F9" s="16" t="n">
        <x:v>0.9</x:v>
      </x:c>
      <x:c r="G9" s="16" t="n">
        <x:v>0.75</x:v>
      </x:c>
      <x:c r="H9" s="16" t="n">
        <x:v>0.35</x:v>
      </x:c>
      <x:c r="I9" s="16" t="n">
        <x:v>0.3</x:v>
      </x:c>
      <x:c r="J9" s="16" t="n">
        <x:v>0.6</x:v>
      </x:c>
      <x:c r="K9" t="str">
        <x:v>Siege / Anti-Armor</x:v>
      </x:c>
      <x:c r="L9" t="str">
        <x:v>Prepared defense with vision</x:v>
      </x:c>
      <x:c r="M9" t="str">
        <x:v>UNCALIBRATED</x:v>
      </x:c>
    </x:row>
    <x:row r="10">
      <x:c r="A10" t="str">
        <x:v>S07</x:v>
      </x:c>
      <x:c r="B10" t="str">
        <x:v>Massive Swarm</x:v>
      </x:c>
      <x:c r="C10" t="str">
        <x:v>Swarm</x:v>
      </x:c>
      <x:c r="D10" s="16" t="n">
        <x:v>0.2</x:v>
      </x:c>
      <x:c r="E10" s="16" t="n">
        <x:v>0.1</x:v>
      </x:c>
      <x:c r="F10" s="16" t="n">
        <x:v>0.95</x:v>
      </x:c>
      <x:c r="G10" s="16" t="n">
        <x:v>0.35</x:v>
      </x:c>
      <x:c r="H10" s="16" t="n">
        <x:v>0.2</x:v>
      </x:c>
      <x:c r="I10" s="16" t="n">
        <x:v>0.3</x:v>
      </x:c>
      <x:c r="J10" s="16" t="n">
        <x:v>0.4</x:v>
      </x:c>
      <x:c r="K10" t="str">
        <x:v>AOE / Swarm</x:v>
      </x:c>
      <x:c r="L10" t="str">
        <x:v>High target count and surround</x:v>
      </x:c>
      <x:c r="M10" t="str">
        <x:v>UNCALIBRATED</x:v>
      </x:c>
    </x:row>
    <x:row r="11">
      <x:c r="A11" t="str">
        <x:v>S08</x:v>
      </x:c>
      <x:c r="B11" t="str">
        <x:v>High-Ground Defense</x:v>
      </x:c>
      <x:c r="C11" t="str">
        <x:v>Mixed</x:v>
      </x:c>
      <x:c r="D11" s="16" t="n">
        <x:v>0.55</x:v>
      </x:c>
      <x:c r="E11" s="16" t="n">
        <x:v>0.15</x:v>
      </x:c>
      <x:c r="F11" s="16" t="n">
        <x:v>0.7</x:v>
      </x:c>
      <x:c r="G11" s="16" t="n">
        <x:v>0.55</x:v>
      </x:c>
      <x:c r="H11" s="16" t="n">
        <x:v>0.5</x:v>
      </x:c>
      <x:c r="I11" s="16" t="n">
        <x:v>0.3</x:v>
      </x:c>
      <x:c r="J11" s="16" t="n">
        <x:v>0.55</x:v>
      </x:c>
      <x:c r="K11" t="str">
        <x:v>Range / Siege</x:v>
      </x:c>
      <x:c r="L11" t="str">
        <x:v>Defender positional advantage</x:v>
      </x:c>
      <x:c r="M11" t="str">
        <x:v>UNCALIBRATED</x:v>
      </x:c>
    </x:row>
    <x:row r="12">
      <x:c r="A12" t="str">
        <x:v>S09</x:v>
      </x:c>
      <x:c r="B12" t="str">
        <x:v>Anti-Air Screen</x:v>
      </x:c>
      <x:c r="C12" t="str">
        <x:v>Air pressure</x:v>
      </x:c>
      <x:c r="D12" s="16" t="n">
        <x:v>0.2</x:v>
      </x:c>
      <x:c r="E12" s="16" t="n">
        <x:v>0.8</x:v>
      </x:c>
      <x:c r="F12" s="16" t="n">
        <x:v>0.6</x:v>
      </x:c>
      <x:c r="G12" s="16" t="n">
        <x:v>0.45</x:v>
      </x:c>
      <x:c r="H12" s="16" t="n">
        <x:v>0.55</x:v>
      </x:c>
      <x:c r="I12" s="16" t="n">
        <x:v>0.25</x:v>
      </x:c>
      <x:c r="J12" s="16" t="n">
        <x:v>0.45</x:v>
      </x:c>
      <x:c r="K12" t="str">
        <x:v>Anti-Air</x:v>
      </x:c>
      <x:c r="L12" t="str">
        <x:v>High air-target share</x:v>
      </x:c>
      <x:c r="M12" t="str">
        <x:v>UNCALIBRATED</x:v>
      </x:c>
    </x:row>
    <x:row r="13">
      <x:c r="A13" t="str">
        <x:v>S10</x:v>
      </x:c>
      <x:c r="B13" t="str">
        <x:v>Kite / Retreat</x:v>
      </x:c>
      <x:c r="C13" t="str">
        <x:v>Mixed Light</x:v>
      </x:c>
      <x:c r="D13" s="16" t="n">
        <x:v>0.25</x:v>
      </x:c>
      <x:c r="E13" s="16" t="n">
        <x:v>0.2</x:v>
      </x:c>
      <x:c r="F13" s="16" t="n">
        <x:v>0.55</x:v>
      </x:c>
      <x:c r="G13" s="16" t="n">
        <x:v>0.3</x:v>
      </x:c>
      <x:c r="H13" s="16" t="n">
        <x:v>0.65</x:v>
      </x:c>
      <x:c r="I13" s="16" t="n">
        <x:v>0.45</x:v>
      </x:c>
      <x:c r="J13" s="16" t="n">
        <x:v>0.8</x:v>
      </x:c>
      <x:c r="K13" t="str">
        <x:v>Mobile General</x:v>
      </x:c>
      <x:c r="L13" t="str">
        <x:v>Micro, speed and range</x:v>
      </x:c>
      <x:c r="M13" t="str">
        <x:v>UNCALIBRATED</x:v>
      </x:c>
    </x:row>
    <x:row r="14">
      <x:c r="A14" t="str">
        <x:v>S11</x:v>
      </x:c>
      <x:c r="B14" t="str">
        <x:v>Single-Target Elite</x:v>
      </x:c>
      <x:c r="C14" t="str">
        <x:v>Elite</x:v>
      </x:c>
      <x:c r="D14" s="16" t="n">
        <x:v>0.7</x:v>
      </x:c>
      <x:c r="E14" s="16" t="n">
        <x:v>0.2</x:v>
      </x:c>
      <x:c r="F14" s="16" t="n">
        <x:v>0.2</x:v>
      </x:c>
      <x:c r="G14" s="16" t="n">
        <x:v>0.15</x:v>
      </x:c>
      <x:c r="H14" s="16" t="n">
        <x:v>0.9</x:v>
      </x:c>
      <x:c r="I14" s="16" t="n">
        <x:v>0.25</x:v>
      </x:c>
      <x:c r="J14" s="16" t="n">
        <x:v>0.7</x:v>
      </x:c>
      <x:c r="K14" t="str">
        <x:v>Burst / Assassin</x:v>
      </x:c>
      <x:c r="L14" t="str">
        <x:v>Overkill / burst / sustained DPS</x:v>
      </x:c>
      <x:c r="M14" t="str">
        <x:v>UNCALIBRATED</x:v>
      </x:c>
    </x:row>
    <x:row r="15">
      <x:c r="A15" t="str">
        <x:v>S12</x:v>
      </x:c>
      <x:c r="B15" t="str">
        <x:v>Spread vs AOE</x:v>
      </x:c>
      <x:c r="C15" t="str">
        <x:v>Spread</x:v>
      </x:c>
      <x:c r="D15" s="16" t="n">
        <x:v>0.3</x:v>
      </x:c>
      <x:c r="E15" s="16" t="n">
        <x:v>0.1</x:v>
      </x:c>
      <x:c r="F15" s="16" t="n">
        <x:v>0.65</x:v>
      </x:c>
      <x:c r="G15" s="16" t="n">
        <x:v>0.2</x:v>
      </x:c>
      <x:c r="H15" s="16" t="n">
        <x:v>0.9</x:v>
      </x:c>
      <x:c r="I15" s="16" t="n">
        <x:v>0.8</x:v>
      </x:c>
      <x:c r="J15" s="16" t="n">
        <x:v>0.55</x:v>
      </x:c>
      <x:c r="K15" t="str">
        <x:v>AOE / General</x:v>
      </x:c>
      <x:c r="L15" t="str">
        <x:v>AOE counterplay and spreading</x:v>
      </x:c>
      <x:c r="M15" t="str">
        <x:v>UNCALIBRATED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9" hidden="0" customWidth="1"/>
    <x:col min="15" max="15" width="9" hidden="0" customWidth="1"/>
    <x:col min="16" max="16" width="14" hidden="0" customWidth="1"/>
    <x:col min="17" max="17" width="14" hidden="0" customWidth="1"/>
    <x:col min="18" max="18" width="13" hidden="0" customWidth="1"/>
    <x:col min="19" max="19" width="12" hidden="0" customWidth="1"/>
    <x:col min="20" max="20" width="11" hidden="0" customWidth="1"/>
    <x:col min="21" max="21" width="15" hidden="0" customWidth="1"/>
    <x:col min="22" max="22" width="14" hidden="0" customWidth="1"/>
    <x:col min="23" max="23" width="14" hidden="0" customWidth="1"/>
    <x:col min="24" max="24" width="14" hidden="0" customWidth="1"/>
    <x:col min="25" max="25" width="10" hidden="0" customWidth="1"/>
    <x:col min="26" max="26" width="14" hidden="0" customWidth="1"/>
    <x:col min="27" max="27" width="34" hidden="0" customWidth="1"/>
    <x:col min="28" max="28" width="11" hidden="0" customWidth="1"/>
    <x:col min="29" max="29" width="14" hidden="0" customWidth="1"/>
    <x:col min="30" max="30" width="14" hidden="0" customWidth="1"/>
    <x:col min="31" max="31" width="10" hidden="0" customWidth="1"/>
    <x:col min="32" max="32" width="12" hidden="0" customWidth="1"/>
    <x:col min="33" max="33" width="11" hidden="0" customWidth="1"/>
    <x:col min="34" max="34" width="12" hidden="0" customWidth="1"/>
    <x:col min="35" max="35" width="12" hidden="0" customWidth="1"/>
    <x:col min="36" max="36" width="12" hidden="0" customWidth="1"/>
    <x:col min="37" max="37" width="11" hidden="0" customWidth="1"/>
    <x:col min="38" max="38" width="12" hidden="0" customWidth="1"/>
    <x:col min="39" max="39" width="9" hidden="0" customWidth="1"/>
    <x:col min="40" max="40" width="9" hidden="0" customWidth="1"/>
    <x:col min="41" max="41" width="22" hidden="0" customWidth="1"/>
    <x:col min="42" max="42" width="16" hidden="0" customWidth="1"/>
    <x:col min="43" max="43" width="38" hidden="0" customWidth="1"/>
    <x:col min="44" max="44" width="12" hidden="0" customWidth="1"/>
    <x:col min="45" max="45" width="16" hidden="0" customWidth="1"/>
    <x:col min="46" max="46" width="14" hidden="0" customWidth="1"/>
    <x:col min="47" max="47" width="12" hidden="0" customWidth="1"/>
    <x:col min="48" max="48" width="14" hidden="0" customWidth="1"/>
    <x:col min="49" max="49" width="12" hidden="0" customWidth="1"/>
    <x:col min="50" max="50" width="14" hidden="0" customWidth="1"/>
  </x:cols>
  <x:sheetData>
    <x:row r="1">
      <x:c r="A1" s="87" t="str">
        <x:v>V3.1 Custom Units — corrected formula layer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  <x:c r="AI1" s="87"/>
      <x:c r="AJ1" s="87"/>
      <x:c r="AK1" s="87"/>
      <x:c r="AL1" s="87"/>
      <x:c r="AM1" s="87"/>
      <x:c r="AN1" s="87"/>
      <x:c r="AO1" s="87"/>
      <x:c r="AP1" s="87"/>
      <x:c r="AQ1" s="87"/>
    </x:row>
    <x:row r="3">
      <x:c r="A3" s="92" t="str">
        <x:v>Unit</x:v>
      </x:c>
      <x:c r="B3" s="92" t="str">
        <x:v>Archetype</x:v>
      </x:c>
      <x:c r="C3" s="92" t="str">
        <x:v>Primary Benchmark</x:v>
      </x:c>
      <x:c r="D3" s="92" t="str">
        <x:v>Secondary Benchmark</x:v>
      </x:c>
      <x:c r="E3" s="92" t="str">
        <x:v>M</x:v>
      </x:c>
      <x:c r="F3" s="92" t="str">
        <x:v>G</x:v>
      </x:c>
      <x:c r="G3" s="92" t="str">
        <x:v>Supply</x:v>
      </x:c>
      <x:c r="H3" s="92" t="str">
        <x:v>Build s</x:v>
      </x:c>
      <x:c r="I3" s="92" t="str">
        <x:v>HP</x:v>
      </x:c>
      <x:c r="J3" s="92" t="str">
        <x:v>Shield</x:v>
      </x:c>
      <x:c r="K3" s="92" t="str">
        <x:v>Armor</x:v>
      </x:c>
      <x:c r="L3" s="92" t="str">
        <x:v>DPS G</x:v>
      </x:c>
      <x:c r="M3" s="92" t="str">
        <x:v>DPS A</x:v>
      </x:c>
      <x:c r="N3" s="92" t="str">
        <x:v>Range</x:v>
      </x:c>
      <x:c r="O3" s="92" t="str">
        <x:v>Speed</x:v>
      </x:c>
      <x:c r="P3" s="92" t="str">
        <x:v>Armored Bonus DPS</x:v>
      </x:c>
      <x:c r="Q3" s="92" t="str">
        <x:v>AOE Target Mult</x:v>
      </x:c>
      <x:c r="R3" s="92" t="str">
        <x:v>Collision Impact</x:v>
      </x:c>
      <x:c r="S3" s="92" t="str">
        <x:v>Skill Impact</x:v>
      </x:c>
      <x:c r="T3" s="92" t="str">
        <x:v>Skill Uptime</x:v>
      </x:c>
      <x:c r="U3" s="92" t="str">
        <x:v>Skill Counterplay</x:v>
      </x:c>
      <x:c r="V3" s="92" t="str">
        <x:v>RoleFitFactor</x:v>
      </x:c>
      <x:c r="W3" s="92" t="str">
        <x:v>FormationFactor</x:v>
      </x:c>
      <x:c r="X3" s="92" t="str">
        <x:v>ScenarioFactor</x:v>
      </x:c>
      <x:c r="Y3" s="92" t="str">
        <x:v>Utility</x:v>
      </x:c>
      <x:c r="Z3" s="92" t="str">
        <x:v>ProductionFactor</x:v>
      </x:c>
      <x:c r="AA3" s="92" t="str">
        <x:v>Source</x:v>
      </x:c>
      <x:c r="AB3" s="92" t="str">
        <x:v>Threat DPS</x:v>
      </x:c>
      <x:c r="AC3" s="92" t="str">
        <x:v>Threat Damage/Hit</x:v>
      </x:c>
      <x:c r="AD3" s="92" t="str">
        <x:v>Armor EHP (HP only)</x:v>
      </x:c>
      <x:c r="AE3" s="92" t="str">
        <x:v>EHP</x:v>
      </x:c>
      <x:c r="AF3" s="92" t="str">
        <x:v>StaticScore</x:v>
      </x:c>
      <x:c r="AG3" s="92" t="str">
        <x:v>SkillFactor</x:v>
      </x:c>
      <x:c r="AH3" s="92" t="str">
        <x:v>CombatValue</x:v>
      </x:c>
      <x:c r="AI3" s="92" t="str">
        <x:v>ScalarCost</x:v>
      </x:c>
      <x:c r="AJ3" s="92" t="str">
        <x:v>BenchmarkCost</x:v>
      </x:c>
      <x:c r="AK3" s="92" t="str">
        <x:v>CostRatio</x:v>
      </x:c>
      <x:c r="AL3" s="92" t="str">
        <x:v>BalanceScore</x:v>
      </x:c>
      <x:c r="AM3" s="92" t="str">
        <x:v>Band Low</x:v>
      </x:c>
      <x:c r="AN3" s="92" t="str">
        <x:v>Band High</x:v>
      </x:c>
      <x:c r="AO3" s="92" t="str">
        <x:v>Status</x:v>
      </x:c>
      <x:c r="AP3" s="92" t="str">
        <x:v>Primary Lever</x:v>
      </x:c>
      <x:c r="AQ3" s="92" t="str">
        <x:v>Calibration</x:v>
      </x:c>
      <x:c r="AR3" s="92" t="str">
        <x:v>EHP Ratio</x:v>
      </x:c>
      <x:c r="AS3" s="92" t="str">
        <x:v>Ground DPS Ratio</x:v>
      </x:c>
      <x:c r="AT3" s="92" t="str">
        <x:v>Air DPS Ratio</x:v>
      </x:c>
      <x:c r="AU3" s="92" t="str">
        <x:v>Range Ratio</x:v>
      </x:c>
      <x:c r="AV3" s="92" t="str">
        <x:v>Mobility Ratio</x:v>
      </x:c>
      <x:c r="AW3" s="92" t="str">
        <x:v>AOE Ratio</x:v>
      </x:c>
      <x:c r="AX3" s="92" t="str">
        <x:v>Utility Ratio</x:v>
      </x:c>
    </x:row>
    <x:row r="4">
      <x:c r="A4" s="93" t="str">
        <x:v>Example Custom Heavy</x:v>
      </x:c>
      <x:c r="B4" s="93" t="str">
        <x:v>Durable Assault</x:v>
      </x:c>
      <x:c r="C4" s="93" t="str">
        <x:v>Roach</x:v>
      </x:c>
      <x:c r="D4" s="98" t="str">
        <x:v>Marauder</x:v>
      </x:c>
      <x:c r="E4" s="98" t="n">
        <x:v>90</x:v>
      </x:c>
      <x:c r="F4" s="98" t="n">
        <x:v>35</x:v>
      </x:c>
      <x:c r="G4" s="98" t="n">
        <x:v>2</x:v>
      </x:c>
      <x:c r="H4" s="98" t="n">
        <x:v>24</x:v>
      </x:c>
      <x:c r="I4" s="98" t="n">
        <x:v>165</x:v>
      </x:c>
      <x:c r="J4" s="98" t="n">
        <x:v>0</x:v>
      </x:c>
      <x:c r="K4" s="98" t="n">
        <x:v>1</x:v>
      </x:c>
      <x:c r="L4" s="98" t="n">
        <x:v>13</x:v>
      </x:c>
      <x:c r="M4" s="98" t="n">
        <x:v>0</x:v>
      </x:c>
      <x:c r="N4" s="98" t="n">
        <x:v>5</x:v>
      </x:c>
      <x:c r="O4" s="98" t="n">
        <x:v>3.15</x:v>
      </x:c>
      <x:c r="P4" s="98" t="n">
        <x:v>6</x:v>
      </x:c>
      <x:c r="Q4" s="98" t="n">
        <x:v>1</x:v>
      </x:c>
      <x:c r="R4" s="98" t="n">
        <x:v>0.28</x:v>
      </x:c>
      <x:c r="S4" s="98" t="n">
        <x:v>0.1</x:v>
      </x:c>
      <x:c r="T4" s="98" t="n">
        <x:v>0.7</x:v>
      </x:c>
      <x:c r="U4" s="98" t="n">
        <x:v>0.2</x:v>
      </x:c>
      <x:c r="V4" s="98" t="n">
        <x:v>1</x:v>
      </x:c>
      <x:c r="W4" s="98" t="n">
        <x:v>0.98</x:v>
      </x:c>
      <x:c r="X4" s="98" t="n">
        <x:v>1</x:v>
      </x:c>
      <x:c r="Y4" s="98" t="n">
        <x:v>0.03</x:v>
      </x:c>
      <x:c r="Z4" s="98" t="n">
        <x:v>1</x:v>
      </x:c>
      <x:c r="AA4" s="98" t="str">
        <x:v>Example / replace</x:v>
      </x:c>
      <x:c r="AB4" s="98" t="n">
        <x:v>12</x:v>
      </x:c>
      <x:c r="AC4" s="98" t="n">
        <x:v>10</x:v>
      </x:c>
      <x:c r="AD4" s="99" t="n">
        <x:f>IF(A4="","",I4*AC4/MAX(0.1,AC4-K4))</x:f>
        <x:v>183.33333333333334</x:v>
      </x:c>
      <x:c r="AE4" s="99" t="n">
        <x:f>IF(A4="","",AD4+J4)</x:f>
        <x:v>183.33333333333334</x:v>
      </x:c>
      <x:c r="AF4" s="99" t="n">
        <x:f>IF(A4="","",IF(COUNT(E4:Q4)&lt;13,"",0.20*AR4+0.30*AS4+0.05*AT4+0.10*AU4+0.10*AV4+0.15*AW4+0.10*AX4))</x:f>
        <x:v>1.1600504926108375</x:v>
      </x:c>
      <x:c r="AG4" s="99" t="n">
        <x:f>IF(A4="","",IF(COUNT(E4:Q4)&lt;13,"",1+S4*T4*(1-U4)))</x:f>
        <x:v>1.056</x:v>
      </x:c>
      <x:c r="AH4" s="99" t="n">
        <x:f>IF(A4="","",IF(COUNT(E4:Q4)&lt;13,"",AF4*AG4*V4*W4*X4*Z4))</x:f>
        <x:v>1.2005130537931035</x:v>
      </x:c>
      <x:c r="AI4" s="99" t="n">
        <x:f>IF(OR(A4="",E4="",F4="",G4="",H4=""),"",E4*V31_Parameters!$K$4+F4*V31_Parameters!$K$5+G4*V31_Parameters!$K$6+H4*V31_Parameters!$K$7)</x:f>
        <x:v>156</x:v>
      </x:c>
      <x:c r="AJ4" s="99" t="n">
        <x:f>IF(A4="","",VLOOKUP(C4,V31_Benchmark!$A$4:$X$13,3,FALSE)*V31_Parameters!$K$4+VLOOKUP(C4,V31_Benchmark!$A$4:$X$13,4,FALSE)*V31_Parameters!$K$5+VLOOKUP(C4,V31_Benchmark!$A$4:$X$13,5,FALSE)*V31_Parameters!$K$6+VLOOKUP(C4,V31_Benchmark!$A$4:$X$13,6,FALSE)*V31_Parameters!$K$7)</x:f>
        <x:v>123.5</x:v>
      </x:c>
      <x:c r="AK4" s="99" t="n">
        <x:f>IF(OR(A4="",AI4="",AJ4=""),"",AI4/MAX(0.01,AJ4))</x:f>
        <x:v>1.263157894736842</x:v>
      </x:c>
      <x:c r="AL4" s="99" t="n">
        <x:f>IF(A4="","",IF(COUNT(E4:Q4)&lt;13,"",AH4/MAX(0.01,AK4)))</x:f>
        <x:v>0.950406167586207</x:v>
      </x:c>
      <x:c r="AM4" s="99" t="n">
        <x:f>IF(A4="","",VLOOKUP(B4,V31_Parameters!$A$14:$C$27,2,FALSE))</x:f>
        <x:v>0.93</x:v>
      </x:c>
      <x:c r="AN4" s="99" t="n">
        <x:f>IF(A4="","",VLOOKUP(B4,V31_Parameters!$A$14:$C$27,3,FALSE))</x:f>
        <x:v>1.07</x:v>
      </x:c>
      <x:c r="AO4" s="99" t="str">
        <x:f>IF(A4="","",IF(COUNT(E4:Q4)&lt;13,"INPUT NEEDED",IF(OR(AM4="",AN4=""),"UNMAPPED",IF(AL4&lt;AM4,"PRE-SIM BELOW",IF(AL4&gt;AN4,"PRE-SIM ABOVE","WITHIN ARCHETYPE BAND")))))</x:f>
        <x:v>WITHIN ARCHETYPE BAND</x:v>
      </x:c>
      <x:c r="AP4" s="99" t="str">
        <x:f>IF(A4="","",IF(COUNT(E4:Q4)&lt;13,"INPUT",IF(AG4&gt;1.05,"SKILL",IF(AK4&gt;1.08,"COST",IF(AS4&gt;1.08,"DPS",IF(AR4&gt;1.08,"EHP","SIMULATION"))))))</x:f>
        <x:v>SKILL</x:v>
      </x:c>
      <x:c r="AQ4" s="99" t="str">
        <x:f>IF(A4="","","UNVALIDATED — SIMULATION / REPLAY REQUIRED")</x:f>
        <x:v>UNVALIDATED — SIMULATION / REPLAY REQUIRED</x:v>
      </x:c>
      <x:c r="AR4" s="102" t="n">
        <x:f>IF(A4="","",AE4/(VLOOKUP(C4,V31_Benchmark!$A$4:$X$13,7,FALSE)*AC4/MAX(0.1,AC4-VLOOKUP(C4,V31_Benchmark!$A$4:$X$13,9,FALSE))+VLOOKUP(C4,V31_Benchmark!$A$4:$X$13,8,FALSE)))</x:f>
        <x:v>1.1379310344827587</x:v>
      </x:c>
      <x:c r="AS4" s="102" t="n">
        <x:f>IF(A4="","",(L4+P4*V31_Parameters!$F$6)/(VLOOKUP(C4,V31_Benchmark!$A$4:$X$13,10,FALSE)+VLOOKUP(C4,V31_Benchmark!$A$4:$X$13,14,FALSE)*V31_Parameters!$F$6))</x:f>
        <x:v>1.3482142857142858</x:v>
      </x:c>
      <x:c r="AT4" s="102" t="n">
        <x:f>IF(A4="","",IF(VLOOKUP(C4,V31_Benchmark!$A$4:$X$13,11,FALSE)=0,IF(M4=0,1,2),M4/VLOOKUP(C4,V31_Benchmark!$A$4:$X$13,11,FALSE)))</x:f>
        <x:v>1</x:v>
      </x:c>
      <x:c r="AU4" s="102" t="n">
        <x:f>IF(A4="","",N4/VLOOKUP(C4,V31_Benchmark!$A$4:$X$13,12,FALSE))</x:f>
        <x:v>1.25</x:v>
      </x:c>
      <x:c r="AV4" s="102" t="n">
        <x:f>IF(A4="","",O4/VLOOKUP(C4,V31_Benchmark!$A$4:$X$13,13,FALSE))</x:f>
        <x:v>1</x:v>
      </x:c>
      <x:c r="AW4" s="102" t="n">
        <x:f>IF(A4="","",Q4/VLOOKUP(C4,V31_Benchmark!$A$4:$X$13,15,FALSE))</x:f>
        <x:v>1</x:v>
      </x:c>
      <x:c r="AX4" s="102" t="n">
        <x:f>IF(A4="","",(1+Y4)/(1+VLOOKUP(C4,V31_Benchmark!$A$4:$X$13,21,FALSE)))</x:f>
        <x:v>1.03</x:v>
      </x:c>
    </x:row>
    <x:row r="5">
      <x:c r="A5" s="93"/>
      <x:c r="B5" s="93"/>
      <x:c r="C5" s="93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  <x:c r="X5" s="98"/>
      <x:c r="Y5" s="98"/>
      <x:c r="Z5" s="98"/>
      <x:c r="AA5" s="98"/>
      <x:c r="AB5" s="98"/>
      <x:c r="AC5" s="98"/>
      <x:c r="AD5" s="99" t="str">
        <x:f>IF(A5="","",I5*AC5/MAX(0.1,AC5-K5))</x:f>
      </x:c>
      <x:c r="AE5" s="99" t="str">
        <x:f>IF(A5="","",AD5+J5)</x:f>
      </x:c>
      <x:c r="AF5" s="99" t="str">
        <x:f>IF(A5="","",IF(COUNT(E5:Q5)&lt;13,"",0.20*AR5+0.30*AS5+0.05*AT5+0.10*AU5+0.10*AV5+0.15*AW5+0.10*AX5))</x:f>
      </x:c>
      <x:c r="AG5" s="99" t="str">
        <x:f>IF(A5="","",IF(COUNT(E5:Q5)&lt;13,"",1+S5*T5*(1-U5)))</x:f>
      </x:c>
      <x:c r="AH5" s="99" t="str">
        <x:f>IF(A5="","",IF(COUNT(E5:Q5)&lt;13,"",AF5*AG5*V5*W5*X5*Z5))</x:f>
      </x:c>
      <x:c r="AI5" s="99" t="str">
        <x:f>IF(OR(A5="",E5="",F5="",G5="",H5=""),"",E5*V31_Parameters!$K$4+F5*V31_Parameters!$K$5+G5*V31_Parameters!$K$6+H5*V31_Parameters!$K$7)</x:f>
      </x:c>
      <x:c r="AJ5" s="99" t="str">
        <x:f>IF(A5="","",VLOOKUP(C5,V31_Benchmark!$A$4:$X$13,3,FALSE)*V31_Parameters!$K$4+VLOOKUP(C5,V31_Benchmark!$A$4:$X$13,4,FALSE)*V31_Parameters!$K$5+VLOOKUP(C5,V31_Benchmark!$A$4:$X$13,5,FALSE)*V31_Parameters!$K$6+VLOOKUP(C5,V31_Benchmark!$A$4:$X$13,6,FALSE)*V31_Parameters!$K$7)</x:f>
      </x:c>
      <x:c r="AK5" s="99" t="str">
        <x:f>IF(OR(A5="",AI5="",AJ5=""),"",AI5/MAX(0.01,AJ5))</x:f>
      </x:c>
      <x:c r="AL5" s="99" t="str">
        <x:f>IF(A5="","",IF(COUNT(E5:Q5)&lt;13,"",AH5/MAX(0.01,AK5)))</x:f>
      </x:c>
      <x:c r="AM5" s="99" t="str">
        <x:f>IF(A5="","",VLOOKUP(B5,V31_Parameters!$A$14:$C$27,2,FALSE))</x:f>
      </x:c>
      <x:c r="AN5" s="99" t="str">
        <x:f>IF(A5="","",VLOOKUP(B5,V31_Parameters!$A$14:$C$27,3,FALSE))</x:f>
      </x:c>
      <x:c r="AO5" s="99" t="str">
        <x:f>IF(A5="","",IF(COUNT(E5:Q5)&lt;13,"INPUT NEEDED",IF(OR(AM5="",AN5=""),"UNMAPPED",IF(AL5&lt;AM5,"PRE-SIM BELOW",IF(AL5&gt;AN5,"PRE-SIM ABOVE","WITHIN ARCHETYPE BAND")))))</x:f>
      </x:c>
      <x:c r="AP5" s="99" t="str">
        <x:f>IF(A5="","",IF(COUNT(E5:Q5)&lt;13,"INPUT",IF(AG5&gt;1.05,"SKILL",IF(AK5&gt;1.08,"COST",IF(AS5&gt;1.08,"DPS",IF(AR5&gt;1.08,"EHP","SIMULATION"))))))</x:f>
      </x:c>
      <x:c r="AQ5" s="99" t="str">
        <x:f>IF(A5="","","UNVALIDATED — SIMULATION / REPLAY REQUIRED")</x:f>
      </x:c>
      <x:c r="AR5" s="102" t="str">
        <x:f>IF(A5="","",AE5/(VLOOKUP(C5,V31_Benchmark!$A$4:$X$13,7,FALSE)*AC5/MAX(0.1,AC5-VLOOKUP(C5,V31_Benchmark!$A$4:$X$13,9,FALSE))+VLOOKUP(C5,V31_Benchmark!$A$4:$X$13,8,FALSE)))</x:f>
      </x:c>
      <x:c r="AS5" s="102" t="str">
        <x:f>IF(A5="","",(L5+P5*V31_Parameters!$F$6)/(VLOOKUP(C5,V31_Benchmark!$A$4:$X$13,10,FALSE)+VLOOKUP(C5,V31_Benchmark!$A$4:$X$13,14,FALSE)*V31_Parameters!$F$6))</x:f>
      </x:c>
      <x:c r="AT5" s="102" t="str">
        <x:f>IF(A5="","",IF(VLOOKUP(C5,V31_Benchmark!$A$4:$X$13,11,FALSE)=0,IF(M5=0,1,2),M5/VLOOKUP(C5,V31_Benchmark!$A$4:$X$13,11,FALSE)))</x:f>
      </x:c>
      <x:c r="AU5" s="102" t="str">
        <x:f>IF(A5="","",N5/VLOOKUP(C5,V31_Benchmark!$A$4:$X$13,12,FALSE))</x:f>
      </x:c>
      <x:c r="AV5" s="102" t="str">
        <x:f>IF(A5="","",O5/VLOOKUP(C5,V31_Benchmark!$A$4:$X$13,13,FALSE))</x:f>
      </x:c>
      <x:c r="AW5" s="102" t="str">
        <x:f>IF(A5="","",Q5/VLOOKUP(C5,V31_Benchmark!$A$4:$X$13,15,FALSE))</x:f>
      </x:c>
      <x:c r="AX5" s="102" t="str">
        <x:f>IF(A5="","",(1+Y5)/(1+VLOOKUP(C5,V31_Benchmark!$A$4:$X$13,21,FALSE)))</x:f>
      </x:c>
    </x:row>
    <x:row r="6">
      <x:c r="A6" s="93"/>
      <x:c r="B6" s="93"/>
      <x:c r="C6" s="93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8"/>
      <x:c r="Y6" s="98"/>
      <x:c r="Z6" s="98"/>
      <x:c r="AA6" s="98"/>
      <x:c r="AB6" s="98"/>
      <x:c r="AC6" s="98"/>
      <x:c r="AD6" s="99" t="str">
        <x:f>IF(A6="","",I6*AC6/MAX(0.1,AC6-K6))</x:f>
      </x:c>
      <x:c r="AE6" s="99" t="str">
        <x:f>IF(A6="","",AD6+J6)</x:f>
      </x:c>
      <x:c r="AF6" s="99" t="str">
        <x:f>IF(A6="","",IF(COUNT(E6:Q6)&lt;13,"",0.20*AR6+0.30*AS6+0.05*AT6+0.10*AU6+0.10*AV6+0.15*AW6+0.10*AX6))</x:f>
      </x:c>
      <x:c r="AG6" s="99" t="str">
        <x:f>IF(A6="","",IF(COUNT(E6:Q6)&lt;13,"",1+S6*T6*(1-U6)))</x:f>
      </x:c>
      <x:c r="AH6" s="99" t="str">
        <x:f>IF(A6="","",IF(COUNT(E6:Q6)&lt;13,"",AF6*AG6*V6*W6*X6*Z6))</x:f>
      </x:c>
      <x:c r="AI6" s="99" t="str">
        <x:f>IF(OR(A6="",E6="",F6="",G6="",H6=""),"",E6*V31_Parameters!$K$4+F6*V31_Parameters!$K$5+G6*V31_Parameters!$K$6+H6*V31_Parameters!$K$7)</x:f>
      </x:c>
      <x:c r="AJ6" s="99" t="str">
        <x:f>IF(A6="","",VLOOKUP(C6,V31_Benchmark!$A$4:$X$13,3,FALSE)*V31_Parameters!$K$4+VLOOKUP(C6,V31_Benchmark!$A$4:$X$13,4,FALSE)*V31_Parameters!$K$5+VLOOKUP(C6,V31_Benchmark!$A$4:$X$13,5,FALSE)*V31_Parameters!$K$6+VLOOKUP(C6,V31_Benchmark!$A$4:$X$13,6,FALSE)*V31_Parameters!$K$7)</x:f>
      </x:c>
      <x:c r="AK6" s="99" t="str">
        <x:f>IF(OR(A6="",AI6="",AJ6=""),"",AI6/MAX(0.01,AJ6))</x:f>
      </x:c>
      <x:c r="AL6" s="99" t="str">
        <x:f>IF(A6="","",IF(COUNT(E6:Q6)&lt;13,"",AH6/MAX(0.01,AK6)))</x:f>
      </x:c>
      <x:c r="AM6" s="99" t="str">
        <x:f>IF(A6="","",VLOOKUP(B6,V31_Parameters!$A$14:$C$27,2,FALSE))</x:f>
      </x:c>
      <x:c r="AN6" s="99" t="str">
        <x:f>IF(A6="","",VLOOKUP(B6,V31_Parameters!$A$14:$C$27,3,FALSE))</x:f>
      </x:c>
      <x:c r="AO6" s="99" t="str">
        <x:f>IF(A6="","",IF(COUNT(E6:Q6)&lt;13,"INPUT NEEDED",IF(OR(AM6="",AN6=""),"UNMAPPED",IF(AL6&lt;AM6,"PRE-SIM BELOW",IF(AL6&gt;AN6,"PRE-SIM ABOVE","WITHIN ARCHETYPE BAND")))))</x:f>
      </x:c>
      <x:c r="AP6" s="99" t="str">
        <x:f>IF(A6="","",IF(COUNT(E6:Q6)&lt;13,"INPUT",IF(AG6&gt;1.05,"SKILL",IF(AK6&gt;1.08,"COST",IF(AS6&gt;1.08,"DPS",IF(AR6&gt;1.08,"EHP","SIMULATION"))))))</x:f>
      </x:c>
      <x:c r="AQ6" s="99" t="str">
        <x:f>IF(A6="","","UNVALIDATED — SIMULATION / REPLAY REQUIRED")</x:f>
      </x:c>
      <x:c r="AR6" s="102" t="str">
        <x:f>IF(A6="","",AE6/(VLOOKUP(C6,V31_Benchmark!$A$4:$X$13,7,FALSE)*AC6/MAX(0.1,AC6-VLOOKUP(C6,V31_Benchmark!$A$4:$X$13,9,FALSE))+VLOOKUP(C6,V31_Benchmark!$A$4:$X$13,8,FALSE)))</x:f>
      </x:c>
      <x:c r="AS6" s="102" t="str">
        <x:f>IF(A6="","",(L6+P6*V31_Parameters!$F$6)/(VLOOKUP(C6,V31_Benchmark!$A$4:$X$13,10,FALSE)+VLOOKUP(C6,V31_Benchmark!$A$4:$X$13,14,FALSE)*V31_Parameters!$F$6))</x:f>
      </x:c>
      <x:c r="AT6" s="102" t="str">
        <x:f>IF(A6="","",IF(VLOOKUP(C6,V31_Benchmark!$A$4:$X$13,11,FALSE)=0,IF(M6=0,1,2),M6/VLOOKUP(C6,V31_Benchmark!$A$4:$X$13,11,FALSE)))</x:f>
      </x:c>
      <x:c r="AU6" s="102" t="str">
        <x:f>IF(A6="","",N6/VLOOKUP(C6,V31_Benchmark!$A$4:$X$13,12,FALSE))</x:f>
      </x:c>
      <x:c r="AV6" s="102" t="str">
        <x:f>IF(A6="","",O6/VLOOKUP(C6,V31_Benchmark!$A$4:$X$13,13,FALSE))</x:f>
      </x:c>
      <x:c r="AW6" s="102" t="str">
        <x:f>IF(A6="","",Q6/VLOOKUP(C6,V31_Benchmark!$A$4:$X$13,15,FALSE))</x:f>
      </x:c>
      <x:c r="AX6" s="102" t="str">
        <x:f>IF(A6="","",(1+Y6)/(1+VLOOKUP(C6,V31_Benchmark!$A$4:$X$13,21,FALSE)))</x:f>
      </x:c>
    </x:row>
    <x:row r="7">
      <x:c r="A7" s="93"/>
      <x:c r="B7" s="93"/>
      <x:c r="C7" s="93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8"/>
      <x:c r="Y7" s="98"/>
      <x:c r="Z7" s="98"/>
      <x:c r="AA7" s="98"/>
      <x:c r="AB7" s="98"/>
      <x:c r="AC7" s="98"/>
      <x:c r="AD7" s="99" t="str">
        <x:f>IF(A7="","",I7*AC7/MAX(0.1,AC7-K7))</x:f>
      </x:c>
      <x:c r="AE7" s="99" t="str">
        <x:f>IF(A7="","",AD7+J7)</x:f>
      </x:c>
      <x:c r="AF7" s="99" t="str">
        <x:f>IF(A7="","",IF(COUNT(E7:Q7)&lt;13,"",0.20*AR7+0.30*AS7+0.05*AT7+0.10*AU7+0.10*AV7+0.15*AW7+0.10*AX7))</x:f>
      </x:c>
      <x:c r="AG7" s="99" t="str">
        <x:f>IF(A7="","",IF(COUNT(E7:Q7)&lt;13,"",1+S7*T7*(1-U7)))</x:f>
      </x:c>
      <x:c r="AH7" s="99" t="str">
        <x:f>IF(A7="","",IF(COUNT(E7:Q7)&lt;13,"",AF7*AG7*V7*W7*X7*Z7))</x:f>
      </x:c>
      <x:c r="AI7" s="99" t="str">
        <x:f>IF(OR(A7="",E7="",F7="",G7="",H7=""),"",E7*V31_Parameters!$K$4+F7*V31_Parameters!$K$5+G7*V31_Parameters!$K$6+H7*V31_Parameters!$K$7)</x:f>
      </x:c>
      <x:c r="AJ7" s="99" t="str">
        <x:f>IF(A7="","",VLOOKUP(C7,V31_Benchmark!$A$4:$X$13,3,FALSE)*V31_Parameters!$K$4+VLOOKUP(C7,V31_Benchmark!$A$4:$X$13,4,FALSE)*V31_Parameters!$K$5+VLOOKUP(C7,V31_Benchmark!$A$4:$X$13,5,FALSE)*V31_Parameters!$K$6+VLOOKUP(C7,V31_Benchmark!$A$4:$X$13,6,FALSE)*V31_Parameters!$K$7)</x:f>
      </x:c>
      <x:c r="AK7" s="99" t="str">
        <x:f>IF(OR(A7="",AI7="",AJ7=""),"",AI7/MAX(0.01,AJ7))</x:f>
      </x:c>
      <x:c r="AL7" s="99" t="str">
        <x:f>IF(A7="","",IF(COUNT(E7:Q7)&lt;13,"",AH7/MAX(0.01,AK7)))</x:f>
      </x:c>
      <x:c r="AM7" s="99" t="str">
        <x:f>IF(A7="","",VLOOKUP(B7,V31_Parameters!$A$14:$C$27,2,FALSE))</x:f>
      </x:c>
      <x:c r="AN7" s="99" t="str">
        <x:f>IF(A7="","",VLOOKUP(B7,V31_Parameters!$A$14:$C$27,3,FALSE))</x:f>
      </x:c>
      <x:c r="AO7" s="99" t="str">
        <x:f>IF(A7="","",IF(COUNT(E7:Q7)&lt;13,"INPUT NEEDED",IF(OR(AM7="",AN7=""),"UNMAPPED",IF(AL7&lt;AM7,"PRE-SIM BELOW",IF(AL7&gt;AN7,"PRE-SIM ABOVE","WITHIN ARCHETYPE BAND")))))</x:f>
      </x:c>
      <x:c r="AP7" s="99" t="str">
        <x:f>IF(A7="","",IF(COUNT(E7:Q7)&lt;13,"INPUT",IF(AG7&gt;1.05,"SKILL",IF(AK7&gt;1.08,"COST",IF(AS7&gt;1.08,"DPS",IF(AR7&gt;1.08,"EHP","SIMULATION"))))))</x:f>
      </x:c>
      <x:c r="AQ7" s="99" t="str">
        <x:f>IF(A7="","","UNVALIDATED — SIMULATION / REPLAY REQUIRED")</x:f>
      </x:c>
      <x:c r="AR7" s="102" t="str">
        <x:f>IF(A7="","",AE7/(VLOOKUP(C7,V31_Benchmark!$A$4:$X$13,7,FALSE)*AC7/MAX(0.1,AC7-VLOOKUP(C7,V31_Benchmark!$A$4:$X$13,9,FALSE))+VLOOKUP(C7,V31_Benchmark!$A$4:$X$13,8,FALSE)))</x:f>
      </x:c>
      <x:c r="AS7" s="102" t="str">
        <x:f>IF(A7="","",(L7+P7*V31_Parameters!$F$6)/(VLOOKUP(C7,V31_Benchmark!$A$4:$X$13,10,FALSE)+VLOOKUP(C7,V31_Benchmark!$A$4:$X$13,14,FALSE)*V31_Parameters!$F$6))</x:f>
      </x:c>
      <x:c r="AT7" s="102" t="str">
        <x:f>IF(A7="","",IF(VLOOKUP(C7,V31_Benchmark!$A$4:$X$13,11,FALSE)=0,IF(M7=0,1,2),M7/VLOOKUP(C7,V31_Benchmark!$A$4:$X$13,11,FALSE)))</x:f>
      </x:c>
      <x:c r="AU7" s="102" t="str">
        <x:f>IF(A7="","",N7/VLOOKUP(C7,V31_Benchmark!$A$4:$X$13,12,FALSE))</x:f>
      </x:c>
      <x:c r="AV7" s="102" t="str">
        <x:f>IF(A7="","",O7/VLOOKUP(C7,V31_Benchmark!$A$4:$X$13,13,FALSE))</x:f>
      </x:c>
      <x:c r="AW7" s="102" t="str">
        <x:f>IF(A7="","",Q7/VLOOKUP(C7,V31_Benchmark!$A$4:$X$13,15,FALSE))</x:f>
      </x:c>
      <x:c r="AX7" s="102" t="str">
        <x:f>IF(A7="","",(1+Y7)/(1+VLOOKUP(C7,V31_Benchmark!$A$4:$X$13,21,FALSE)))</x:f>
      </x:c>
    </x:row>
    <x:row r="8">
      <x:c r="A8" s="93"/>
      <x:c r="B8" s="93"/>
      <x:c r="C8" s="93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  <x:c r="P8" s="98"/>
      <x:c r="Q8" s="98"/>
      <x:c r="R8" s="98"/>
      <x:c r="S8" s="98"/>
      <x:c r="T8" s="98"/>
      <x:c r="U8" s="98"/>
      <x:c r="V8" s="98"/>
      <x:c r="W8" s="98"/>
      <x:c r="X8" s="98"/>
      <x:c r="Y8" s="98"/>
      <x:c r="Z8" s="98"/>
      <x:c r="AA8" s="98"/>
      <x:c r="AB8" s="98"/>
      <x:c r="AC8" s="98"/>
      <x:c r="AD8" s="99" t="str">
        <x:f>IF(A8="","",I8*AC8/MAX(0.1,AC8-K8))</x:f>
      </x:c>
      <x:c r="AE8" s="99" t="str">
        <x:f>IF(A8="","",AD8+J8)</x:f>
      </x:c>
      <x:c r="AF8" s="99" t="str">
        <x:f>IF(A8="","",IF(COUNT(E8:Q8)&lt;13,"",0.20*AR8+0.30*AS8+0.05*AT8+0.10*AU8+0.10*AV8+0.15*AW8+0.10*AX8))</x:f>
      </x:c>
      <x:c r="AG8" s="99" t="str">
        <x:f>IF(A8="","",IF(COUNT(E8:Q8)&lt;13,"",1+S8*T8*(1-U8)))</x:f>
      </x:c>
      <x:c r="AH8" s="99" t="str">
        <x:f>IF(A8="","",IF(COUNT(E8:Q8)&lt;13,"",AF8*AG8*V8*W8*X8*Z8))</x:f>
      </x:c>
      <x:c r="AI8" s="99" t="str">
        <x:f>IF(OR(A8="",E8="",F8="",G8="",H8=""),"",E8*V31_Parameters!$K$4+F8*V31_Parameters!$K$5+G8*V31_Parameters!$K$6+H8*V31_Parameters!$K$7)</x:f>
      </x:c>
      <x:c r="AJ8" s="99" t="str">
        <x:f>IF(A8="","",VLOOKUP(C8,V31_Benchmark!$A$4:$X$13,3,FALSE)*V31_Parameters!$K$4+VLOOKUP(C8,V31_Benchmark!$A$4:$X$13,4,FALSE)*V31_Parameters!$K$5+VLOOKUP(C8,V31_Benchmark!$A$4:$X$13,5,FALSE)*V31_Parameters!$K$6+VLOOKUP(C8,V31_Benchmark!$A$4:$X$13,6,FALSE)*V31_Parameters!$K$7)</x:f>
      </x:c>
      <x:c r="AK8" s="99" t="str">
        <x:f>IF(OR(A8="",AI8="",AJ8=""),"",AI8/MAX(0.01,AJ8))</x:f>
      </x:c>
      <x:c r="AL8" s="99" t="str">
        <x:f>IF(A8="","",IF(COUNT(E8:Q8)&lt;13,"",AH8/MAX(0.01,AK8)))</x:f>
      </x:c>
      <x:c r="AM8" s="99" t="str">
        <x:f>IF(A8="","",VLOOKUP(B8,V31_Parameters!$A$14:$C$27,2,FALSE))</x:f>
      </x:c>
      <x:c r="AN8" s="99" t="str">
        <x:f>IF(A8="","",VLOOKUP(B8,V31_Parameters!$A$14:$C$27,3,FALSE))</x:f>
      </x:c>
      <x:c r="AO8" s="99" t="str">
        <x:f>IF(A8="","",IF(COUNT(E8:Q8)&lt;13,"INPUT NEEDED",IF(OR(AM8="",AN8=""),"UNMAPPED",IF(AL8&lt;AM8,"PRE-SIM BELOW",IF(AL8&gt;AN8,"PRE-SIM ABOVE","WITHIN ARCHETYPE BAND")))))</x:f>
      </x:c>
      <x:c r="AP8" s="99" t="str">
        <x:f>IF(A8="","",IF(COUNT(E8:Q8)&lt;13,"INPUT",IF(AG8&gt;1.05,"SKILL",IF(AK8&gt;1.08,"COST",IF(AS8&gt;1.08,"DPS",IF(AR8&gt;1.08,"EHP","SIMULATION"))))))</x:f>
      </x:c>
      <x:c r="AQ8" s="99" t="str">
        <x:f>IF(A8="","","UNVALIDATED — SIMULATION / REPLAY REQUIRED")</x:f>
      </x:c>
      <x:c r="AR8" s="102" t="str">
        <x:f>IF(A8="","",AE8/(VLOOKUP(C8,V31_Benchmark!$A$4:$X$13,7,FALSE)*AC8/MAX(0.1,AC8-VLOOKUP(C8,V31_Benchmark!$A$4:$X$13,9,FALSE))+VLOOKUP(C8,V31_Benchmark!$A$4:$X$13,8,FALSE)))</x:f>
      </x:c>
      <x:c r="AS8" s="102" t="str">
        <x:f>IF(A8="","",(L8+P8*V31_Parameters!$F$6)/(VLOOKUP(C8,V31_Benchmark!$A$4:$X$13,10,FALSE)+VLOOKUP(C8,V31_Benchmark!$A$4:$X$13,14,FALSE)*V31_Parameters!$F$6))</x:f>
      </x:c>
      <x:c r="AT8" s="102" t="str">
        <x:f>IF(A8="","",IF(VLOOKUP(C8,V31_Benchmark!$A$4:$X$13,11,FALSE)=0,IF(M8=0,1,2),M8/VLOOKUP(C8,V31_Benchmark!$A$4:$X$13,11,FALSE)))</x:f>
      </x:c>
      <x:c r="AU8" s="102" t="str">
        <x:f>IF(A8="","",N8/VLOOKUP(C8,V31_Benchmark!$A$4:$X$13,12,FALSE))</x:f>
      </x:c>
      <x:c r="AV8" s="102" t="str">
        <x:f>IF(A8="","",O8/VLOOKUP(C8,V31_Benchmark!$A$4:$X$13,13,FALSE))</x:f>
      </x:c>
      <x:c r="AW8" s="102" t="str">
        <x:f>IF(A8="","",Q8/VLOOKUP(C8,V31_Benchmark!$A$4:$X$13,15,FALSE))</x:f>
      </x:c>
      <x:c r="AX8" s="102" t="str">
        <x:f>IF(A8="","",(1+Y8)/(1+VLOOKUP(C8,V31_Benchmark!$A$4:$X$13,21,FALSE)))</x:f>
      </x:c>
    </x:row>
    <x:row r="9">
      <x:c r="A9" s="93"/>
      <x:c r="B9" s="93"/>
      <x:c r="C9" s="93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  <x:c r="Q9" s="98"/>
      <x:c r="R9" s="98"/>
      <x:c r="S9" s="98"/>
      <x:c r="T9" s="98"/>
      <x:c r="U9" s="98"/>
      <x:c r="V9" s="98"/>
      <x:c r="W9" s="98"/>
      <x:c r="X9" s="98"/>
      <x:c r="Y9" s="98"/>
      <x:c r="Z9" s="98"/>
      <x:c r="AA9" s="98"/>
      <x:c r="AB9" s="98"/>
      <x:c r="AC9" s="98"/>
      <x:c r="AD9" s="99" t="str">
        <x:f>IF(A9="","",I9*AC9/MAX(0.1,AC9-K9))</x:f>
      </x:c>
      <x:c r="AE9" s="99" t="str">
        <x:f>IF(A9="","",AD9+J9)</x:f>
      </x:c>
      <x:c r="AF9" s="99" t="str">
        <x:f>IF(A9="","",IF(COUNT(E9:Q9)&lt;13,"",0.20*AR9+0.30*AS9+0.05*AT9+0.10*AU9+0.10*AV9+0.15*AW9+0.10*AX9))</x:f>
      </x:c>
      <x:c r="AG9" s="99" t="str">
        <x:f>IF(A9="","",IF(COUNT(E9:Q9)&lt;13,"",1+S9*T9*(1-U9)))</x:f>
      </x:c>
      <x:c r="AH9" s="99" t="str">
        <x:f>IF(A9="","",IF(COUNT(E9:Q9)&lt;13,"",AF9*AG9*V9*W9*X9*Z9))</x:f>
      </x:c>
      <x:c r="AI9" s="99" t="str">
        <x:f>IF(OR(A9="",E9="",F9="",G9="",H9=""),"",E9*V31_Parameters!$K$4+F9*V31_Parameters!$K$5+G9*V31_Parameters!$K$6+H9*V31_Parameters!$K$7)</x:f>
      </x:c>
      <x:c r="AJ9" s="99" t="str">
        <x:f>IF(A9="","",VLOOKUP(C9,V31_Benchmark!$A$4:$X$13,3,FALSE)*V31_Parameters!$K$4+VLOOKUP(C9,V31_Benchmark!$A$4:$X$13,4,FALSE)*V31_Parameters!$K$5+VLOOKUP(C9,V31_Benchmark!$A$4:$X$13,5,FALSE)*V31_Parameters!$K$6+VLOOKUP(C9,V31_Benchmark!$A$4:$X$13,6,FALSE)*V31_Parameters!$K$7)</x:f>
      </x:c>
      <x:c r="AK9" s="99" t="str">
        <x:f>IF(OR(A9="",AI9="",AJ9=""),"",AI9/MAX(0.01,AJ9))</x:f>
      </x:c>
      <x:c r="AL9" s="99" t="str">
        <x:f>IF(A9="","",IF(COUNT(E9:Q9)&lt;13,"",AH9/MAX(0.01,AK9)))</x:f>
      </x:c>
      <x:c r="AM9" s="99" t="str">
        <x:f>IF(A9="","",VLOOKUP(B9,V31_Parameters!$A$14:$C$27,2,FALSE))</x:f>
      </x:c>
      <x:c r="AN9" s="99" t="str">
        <x:f>IF(A9="","",VLOOKUP(B9,V31_Parameters!$A$14:$C$27,3,FALSE))</x:f>
      </x:c>
      <x:c r="AO9" s="99" t="str">
        <x:f>IF(A9="","",IF(COUNT(E9:Q9)&lt;13,"INPUT NEEDED",IF(OR(AM9="",AN9=""),"UNMAPPED",IF(AL9&lt;AM9,"PRE-SIM BELOW",IF(AL9&gt;AN9,"PRE-SIM ABOVE","WITHIN ARCHETYPE BAND")))))</x:f>
      </x:c>
      <x:c r="AP9" s="99" t="str">
        <x:f>IF(A9="","",IF(COUNT(E9:Q9)&lt;13,"INPUT",IF(AG9&gt;1.05,"SKILL",IF(AK9&gt;1.08,"COST",IF(AS9&gt;1.08,"DPS",IF(AR9&gt;1.08,"EHP","SIMULATION"))))))</x:f>
      </x:c>
      <x:c r="AQ9" s="99" t="str">
        <x:f>IF(A9="","","UNVALIDATED — SIMULATION / REPLAY REQUIRED")</x:f>
      </x:c>
      <x:c r="AR9" s="102" t="str">
        <x:f>IF(A9="","",AE9/(VLOOKUP(C9,V31_Benchmark!$A$4:$X$13,7,FALSE)*AC9/MAX(0.1,AC9-VLOOKUP(C9,V31_Benchmark!$A$4:$X$13,9,FALSE))+VLOOKUP(C9,V31_Benchmark!$A$4:$X$13,8,FALSE)))</x:f>
      </x:c>
      <x:c r="AS9" s="102" t="str">
        <x:f>IF(A9="","",(L9+P9*V31_Parameters!$F$6)/(VLOOKUP(C9,V31_Benchmark!$A$4:$X$13,10,FALSE)+VLOOKUP(C9,V31_Benchmark!$A$4:$X$13,14,FALSE)*V31_Parameters!$F$6))</x:f>
      </x:c>
      <x:c r="AT9" s="102" t="str">
        <x:f>IF(A9="","",IF(VLOOKUP(C9,V31_Benchmark!$A$4:$X$13,11,FALSE)=0,IF(M9=0,1,2),M9/VLOOKUP(C9,V31_Benchmark!$A$4:$X$13,11,FALSE)))</x:f>
      </x:c>
      <x:c r="AU9" s="102" t="str">
        <x:f>IF(A9="","",N9/VLOOKUP(C9,V31_Benchmark!$A$4:$X$13,12,FALSE))</x:f>
      </x:c>
      <x:c r="AV9" s="102" t="str">
        <x:f>IF(A9="","",O9/VLOOKUP(C9,V31_Benchmark!$A$4:$X$13,13,FALSE))</x:f>
      </x:c>
      <x:c r="AW9" s="102" t="str">
        <x:f>IF(A9="","",Q9/VLOOKUP(C9,V31_Benchmark!$A$4:$X$13,15,FALSE))</x:f>
      </x:c>
      <x:c r="AX9" s="102" t="str">
        <x:f>IF(A9="","",(1+Y9)/(1+VLOOKUP(C9,V31_Benchmark!$A$4:$X$13,21,FALSE)))</x:f>
      </x:c>
    </x:row>
    <x:row r="10">
      <x:c r="A10" s="93"/>
      <x:c r="B10" s="93"/>
      <x:c r="C10" s="93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  <x:c r="P10" s="98"/>
      <x:c r="Q10" s="98"/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9" t="str">
        <x:f>IF(A10="","",I10*AC10/MAX(0.1,AC10-K10))</x:f>
      </x:c>
      <x:c r="AE10" s="99" t="str">
        <x:f>IF(A10="","",AD10+J10)</x:f>
      </x:c>
      <x:c r="AF10" s="99" t="str">
        <x:f>IF(A10="","",IF(COUNT(E10:Q10)&lt;13,"",0.20*AR10+0.30*AS10+0.05*AT10+0.10*AU10+0.10*AV10+0.15*AW10+0.10*AX10))</x:f>
      </x:c>
      <x:c r="AG10" s="99" t="str">
        <x:f>IF(A10="","",IF(COUNT(E10:Q10)&lt;13,"",1+S10*T10*(1-U10)))</x:f>
      </x:c>
      <x:c r="AH10" s="99" t="str">
        <x:f>IF(A10="","",IF(COUNT(E10:Q10)&lt;13,"",AF10*AG10*V10*W10*X10*Z10))</x:f>
      </x:c>
      <x:c r="AI10" s="99" t="str">
        <x:f>IF(OR(A10="",E10="",F10="",G10="",H10=""),"",E10*V31_Parameters!$K$4+F10*V31_Parameters!$K$5+G10*V31_Parameters!$K$6+H10*V31_Parameters!$K$7)</x:f>
      </x:c>
      <x:c r="AJ10" s="99" t="str">
        <x:f>IF(A10="","",VLOOKUP(C10,V31_Benchmark!$A$4:$X$13,3,FALSE)*V31_Parameters!$K$4+VLOOKUP(C10,V31_Benchmark!$A$4:$X$13,4,FALSE)*V31_Parameters!$K$5+VLOOKUP(C10,V31_Benchmark!$A$4:$X$13,5,FALSE)*V31_Parameters!$K$6+VLOOKUP(C10,V31_Benchmark!$A$4:$X$13,6,FALSE)*V31_Parameters!$K$7)</x:f>
      </x:c>
      <x:c r="AK10" s="99" t="str">
        <x:f>IF(OR(A10="",AI10="",AJ10=""),"",AI10/MAX(0.01,AJ10))</x:f>
      </x:c>
      <x:c r="AL10" s="99" t="str">
        <x:f>IF(A10="","",IF(COUNT(E10:Q10)&lt;13,"",AH10/MAX(0.01,AK10)))</x:f>
      </x:c>
      <x:c r="AM10" s="99" t="str">
        <x:f>IF(A10="","",VLOOKUP(B10,V31_Parameters!$A$14:$C$27,2,FALSE))</x:f>
      </x:c>
      <x:c r="AN10" s="99" t="str">
        <x:f>IF(A10="","",VLOOKUP(B10,V31_Parameters!$A$14:$C$27,3,FALSE))</x:f>
      </x:c>
      <x:c r="AO10" s="99" t="str">
        <x:f>IF(A10="","",IF(COUNT(E10:Q10)&lt;13,"INPUT NEEDED",IF(OR(AM10="",AN10=""),"UNMAPPED",IF(AL10&lt;AM10,"PRE-SIM BELOW",IF(AL10&gt;AN10,"PRE-SIM ABOVE","WITHIN ARCHETYPE BAND")))))</x:f>
      </x:c>
      <x:c r="AP10" s="99" t="str">
        <x:f>IF(A10="","",IF(COUNT(E10:Q10)&lt;13,"INPUT",IF(AG10&gt;1.05,"SKILL",IF(AK10&gt;1.08,"COST",IF(AS10&gt;1.08,"DPS",IF(AR10&gt;1.08,"EHP","SIMULATION"))))))</x:f>
      </x:c>
      <x:c r="AQ10" s="99" t="str">
        <x:f>IF(A10="","","UNVALIDATED — SIMULATION / REPLAY REQUIRED")</x:f>
      </x:c>
      <x:c r="AR10" s="102" t="str">
        <x:f>IF(A10="","",AE10/(VLOOKUP(C10,V31_Benchmark!$A$4:$X$13,7,FALSE)*AC10/MAX(0.1,AC10-VLOOKUP(C10,V31_Benchmark!$A$4:$X$13,9,FALSE))+VLOOKUP(C10,V31_Benchmark!$A$4:$X$13,8,FALSE)))</x:f>
      </x:c>
      <x:c r="AS10" s="102" t="str">
        <x:f>IF(A10="","",(L10+P10*V31_Parameters!$F$6)/(VLOOKUP(C10,V31_Benchmark!$A$4:$X$13,10,FALSE)+VLOOKUP(C10,V31_Benchmark!$A$4:$X$13,14,FALSE)*V31_Parameters!$F$6))</x:f>
      </x:c>
      <x:c r="AT10" s="102" t="str">
        <x:f>IF(A10="","",IF(VLOOKUP(C10,V31_Benchmark!$A$4:$X$13,11,FALSE)=0,IF(M10=0,1,2),M10/VLOOKUP(C10,V31_Benchmark!$A$4:$X$13,11,FALSE)))</x:f>
      </x:c>
      <x:c r="AU10" s="102" t="str">
        <x:f>IF(A10="","",N10/VLOOKUP(C10,V31_Benchmark!$A$4:$X$13,12,FALSE))</x:f>
      </x:c>
      <x:c r="AV10" s="102" t="str">
        <x:f>IF(A10="","",O10/VLOOKUP(C10,V31_Benchmark!$A$4:$X$13,13,FALSE))</x:f>
      </x:c>
      <x:c r="AW10" s="102" t="str">
        <x:f>IF(A10="","",Q10/VLOOKUP(C10,V31_Benchmark!$A$4:$X$13,15,FALSE))</x:f>
      </x:c>
      <x:c r="AX10" s="102" t="str">
        <x:f>IF(A10="","",(1+Y10)/(1+VLOOKUP(C10,V31_Benchmark!$A$4:$X$13,21,FALSE)))</x:f>
      </x:c>
    </x:row>
    <x:row r="11">
      <x:c r="A11" s="93"/>
      <x:c r="B11" s="93"/>
      <x:c r="C11" s="93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  <x:c r="Q11" s="98"/>
      <x:c r="R11" s="98"/>
      <x:c r="S11" s="98"/>
      <x:c r="T11" s="98"/>
      <x:c r="U11" s="98"/>
      <x:c r="V11" s="98"/>
      <x:c r="W11" s="98"/>
      <x:c r="X11" s="98"/>
      <x:c r="Y11" s="98"/>
      <x:c r="Z11" s="98"/>
      <x:c r="AA11" s="98"/>
      <x:c r="AB11" s="98"/>
      <x:c r="AC11" s="98"/>
      <x:c r="AD11" s="99" t="str">
        <x:f>IF(A11="","",I11*AC11/MAX(0.1,AC11-K11))</x:f>
      </x:c>
      <x:c r="AE11" s="99" t="str">
        <x:f>IF(A11="","",AD11+J11)</x:f>
      </x:c>
      <x:c r="AF11" s="99" t="str">
        <x:f>IF(A11="","",IF(COUNT(E11:Q11)&lt;13,"",0.20*AR11+0.30*AS11+0.05*AT11+0.10*AU11+0.10*AV11+0.15*AW11+0.10*AX11))</x:f>
      </x:c>
      <x:c r="AG11" s="99" t="str">
        <x:f>IF(A11="","",IF(COUNT(E11:Q11)&lt;13,"",1+S11*T11*(1-U11)))</x:f>
      </x:c>
      <x:c r="AH11" s="99" t="str">
        <x:f>IF(A11="","",IF(COUNT(E11:Q11)&lt;13,"",AF11*AG11*V11*W11*X11*Z11))</x:f>
      </x:c>
      <x:c r="AI11" s="99" t="str">
        <x:f>IF(OR(A11="",E11="",F11="",G11="",H11=""),"",E11*V31_Parameters!$K$4+F11*V31_Parameters!$K$5+G11*V31_Parameters!$K$6+H11*V31_Parameters!$K$7)</x:f>
      </x:c>
      <x:c r="AJ11" s="99" t="str">
        <x:f>IF(A11="","",VLOOKUP(C11,V31_Benchmark!$A$4:$X$13,3,FALSE)*V31_Parameters!$K$4+VLOOKUP(C11,V31_Benchmark!$A$4:$X$13,4,FALSE)*V31_Parameters!$K$5+VLOOKUP(C11,V31_Benchmark!$A$4:$X$13,5,FALSE)*V31_Parameters!$K$6+VLOOKUP(C11,V31_Benchmark!$A$4:$X$13,6,FALSE)*V31_Parameters!$K$7)</x:f>
      </x:c>
      <x:c r="AK11" s="99" t="str">
        <x:f>IF(OR(A11="",AI11="",AJ11=""),"",AI11/MAX(0.01,AJ11))</x:f>
      </x:c>
      <x:c r="AL11" s="99" t="str">
        <x:f>IF(A11="","",IF(COUNT(E11:Q11)&lt;13,"",AH11/MAX(0.01,AK11)))</x:f>
      </x:c>
      <x:c r="AM11" s="99" t="str">
        <x:f>IF(A11="","",VLOOKUP(B11,V31_Parameters!$A$14:$C$27,2,FALSE))</x:f>
      </x:c>
      <x:c r="AN11" s="99" t="str">
        <x:f>IF(A11="","",VLOOKUP(B11,V31_Parameters!$A$14:$C$27,3,FALSE))</x:f>
      </x:c>
      <x:c r="AO11" s="99" t="str">
        <x:f>IF(A11="","",IF(COUNT(E11:Q11)&lt;13,"INPUT NEEDED",IF(OR(AM11="",AN11=""),"UNMAPPED",IF(AL11&lt;AM11,"PRE-SIM BELOW",IF(AL11&gt;AN11,"PRE-SIM ABOVE","WITHIN ARCHETYPE BAND")))))</x:f>
      </x:c>
      <x:c r="AP11" s="99" t="str">
        <x:f>IF(A11="","",IF(COUNT(E11:Q11)&lt;13,"INPUT",IF(AG11&gt;1.05,"SKILL",IF(AK11&gt;1.08,"COST",IF(AS11&gt;1.08,"DPS",IF(AR11&gt;1.08,"EHP","SIMULATION"))))))</x:f>
      </x:c>
      <x:c r="AQ11" s="99" t="str">
        <x:f>IF(A11="","","UNVALIDATED — SIMULATION / REPLAY REQUIRED")</x:f>
      </x:c>
      <x:c r="AR11" s="102" t="str">
        <x:f>IF(A11="","",AE11/(VLOOKUP(C11,V31_Benchmark!$A$4:$X$13,7,FALSE)*AC11/MAX(0.1,AC11-VLOOKUP(C11,V31_Benchmark!$A$4:$X$13,9,FALSE))+VLOOKUP(C11,V31_Benchmark!$A$4:$X$13,8,FALSE)))</x:f>
      </x:c>
      <x:c r="AS11" s="102" t="str">
        <x:f>IF(A11="","",(L11+P11*V31_Parameters!$F$6)/(VLOOKUP(C11,V31_Benchmark!$A$4:$X$13,10,FALSE)+VLOOKUP(C11,V31_Benchmark!$A$4:$X$13,14,FALSE)*V31_Parameters!$F$6))</x:f>
      </x:c>
      <x:c r="AT11" s="102" t="str">
        <x:f>IF(A11="","",IF(VLOOKUP(C11,V31_Benchmark!$A$4:$X$13,11,FALSE)=0,IF(M11=0,1,2),M11/VLOOKUP(C11,V31_Benchmark!$A$4:$X$13,11,FALSE)))</x:f>
      </x:c>
      <x:c r="AU11" s="102" t="str">
        <x:f>IF(A11="","",N11/VLOOKUP(C11,V31_Benchmark!$A$4:$X$13,12,FALSE))</x:f>
      </x:c>
      <x:c r="AV11" s="102" t="str">
        <x:f>IF(A11="","",O11/VLOOKUP(C11,V31_Benchmark!$A$4:$X$13,13,FALSE))</x:f>
      </x:c>
      <x:c r="AW11" s="102" t="str">
        <x:f>IF(A11="","",Q11/VLOOKUP(C11,V31_Benchmark!$A$4:$X$13,15,FALSE))</x:f>
      </x:c>
      <x:c r="AX11" s="102" t="str">
        <x:f>IF(A11="","",(1+Y11)/(1+VLOOKUP(C11,V31_Benchmark!$A$4:$X$13,21,FALSE)))</x:f>
      </x:c>
    </x:row>
    <x:row r="12">
      <x:c r="A12" s="93"/>
      <x:c r="B12" s="93"/>
      <x:c r="C12" s="93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8"/>
      <x:c r="Y12" s="98"/>
      <x:c r="Z12" s="98"/>
      <x:c r="AA12" s="98"/>
      <x:c r="AB12" s="98"/>
      <x:c r="AC12" s="98"/>
      <x:c r="AD12" s="99" t="str">
        <x:f>IF(A12="","",I12*AC12/MAX(0.1,AC12-K12))</x:f>
      </x:c>
      <x:c r="AE12" s="99" t="str">
        <x:f>IF(A12="","",AD12+J12)</x:f>
      </x:c>
      <x:c r="AF12" s="99" t="str">
        <x:f>IF(A12="","",IF(COUNT(E12:Q12)&lt;13,"",0.20*AR12+0.30*AS12+0.05*AT12+0.10*AU12+0.10*AV12+0.15*AW12+0.10*AX12))</x:f>
      </x:c>
      <x:c r="AG12" s="99" t="str">
        <x:f>IF(A12="","",IF(COUNT(E12:Q12)&lt;13,"",1+S12*T12*(1-U12)))</x:f>
      </x:c>
      <x:c r="AH12" s="99" t="str">
        <x:f>IF(A12="","",IF(COUNT(E12:Q12)&lt;13,"",AF12*AG12*V12*W12*X12*Z12))</x:f>
      </x:c>
      <x:c r="AI12" s="99" t="str">
        <x:f>IF(OR(A12="",E12="",F12="",G12="",H12=""),"",E12*V31_Parameters!$K$4+F12*V31_Parameters!$K$5+G12*V31_Parameters!$K$6+H12*V31_Parameters!$K$7)</x:f>
      </x:c>
      <x:c r="AJ12" s="99" t="str">
        <x:f>IF(A12="","",VLOOKUP(C12,V31_Benchmark!$A$4:$X$13,3,FALSE)*V31_Parameters!$K$4+VLOOKUP(C12,V31_Benchmark!$A$4:$X$13,4,FALSE)*V31_Parameters!$K$5+VLOOKUP(C12,V31_Benchmark!$A$4:$X$13,5,FALSE)*V31_Parameters!$K$6+VLOOKUP(C12,V31_Benchmark!$A$4:$X$13,6,FALSE)*V31_Parameters!$K$7)</x:f>
      </x:c>
      <x:c r="AK12" s="99" t="str">
        <x:f>IF(OR(A12="",AI12="",AJ12=""),"",AI12/MAX(0.01,AJ12))</x:f>
      </x:c>
      <x:c r="AL12" s="99" t="str">
        <x:f>IF(A12="","",IF(COUNT(E12:Q12)&lt;13,"",AH12/MAX(0.01,AK12)))</x:f>
      </x:c>
      <x:c r="AM12" s="99" t="str">
        <x:f>IF(A12="","",VLOOKUP(B12,V31_Parameters!$A$14:$C$27,2,FALSE))</x:f>
      </x:c>
      <x:c r="AN12" s="99" t="str">
        <x:f>IF(A12="","",VLOOKUP(B12,V31_Parameters!$A$14:$C$27,3,FALSE))</x:f>
      </x:c>
      <x:c r="AO12" s="99" t="str">
        <x:f>IF(A12="","",IF(COUNT(E12:Q12)&lt;13,"INPUT NEEDED",IF(OR(AM12="",AN12=""),"UNMAPPED",IF(AL12&lt;AM12,"PRE-SIM BELOW",IF(AL12&gt;AN12,"PRE-SIM ABOVE","WITHIN ARCHETYPE BAND")))))</x:f>
      </x:c>
      <x:c r="AP12" s="99" t="str">
        <x:f>IF(A12="","",IF(COUNT(E12:Q12)&lt;13,"INPUT",IF(AG12&gt;1.05,"SKILL",IF(AK12&gt;1.08,"COST",IF(AS12&gt;1.08,"DPS",IF(AR12&gt;1.08,"EHP","SIMULATION"))))))</x:f>
      </x:c>
      <x:c r="AQ12" s="99" t="str">
        <x:f>IF(A12="","","UNVALIDATED — SIMULATION / REPLAY REQUIRED")</x:f>
      </x:c>
      <x:c r="AR12" s="102" t="str">
        <x:f>IF(A12="","",AE12/(VLOOKUP(C12,V31_Benchmark!$A$4:$X$13,7,FALSE)*AC12/MAX(0.1,AC12-VLOOKUP(C12,V31_Benchmark!$A$4:$X$13,9,FALSE))+VLOOKUP(C12,V31_Benchmark!$A$4:$X$13,8,FALSE)))</x:f>
      </x:c>
      <x:c r="AS12" s="102" t="str">
        <x:f>IF(A12="","",(L12+P12*V31_Parameters!$F$6)/(VLOOKUP(C12,V31_Benchmark!$A$4:$X$13,10,FALSE)+VLOOKUP(C12,V31_Benchmark!$A$4:$X$13,14,FALSE)*V31_Parameters!$F$6))</x:f>
      </x:c>
      <x:c r="AT12" s="102" t="str">
        <x:f>IF(A12="","",IF(VLOOKUP(C12,V31_Benchmark!$A$4:$X$13,11,FALSE)=0,IF(M12=0,1,2),M12/VLOOKUP(C12,V31_Benchmark!$A$4:$X$13,11,FALSE)))</x:f>
      </x:c>
      <x:c r="AU12" s="102" t="str">
        <x:f>IF(A12="","",N12/VLOOKUP(C12,V31_Benchmark!$A$4:$X$13,12,FALSE))</x:f>
      </x:c>
      <x:c r="AV12" s="102" t="str">
        <x:f>IF(A12="","",O12/VLOOKUP(C12,V31_Benchmark!$A$4:$X$13,13,FALSE))</x:f>
      </x:c>
      <x:c r="AW12" s="102" t="str">
        <x:f>IF(A12="","",Q12/VLOOKUP(C12,V31_Benchmark!$A$4:$X$13,15,FALSE))</x:f>
      </x:c>
      <x:c r="AX12" s="102" t="str">
        <x:f>IF(A12="","",(1+Y12)/(1+VLOOKUP(C12,V31_Benchmark!$A$4:$X$13,21,FALSE)))</x:f>
      </x:c>
    </x:row>
    <x:row r="13">
      <x:c r="A13" s="93"/>
      <x:c r="B13" s="93"/>
      <x:c r="C13" s="93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98"/>
      <x:c r="Y13" s="98"/>
      <x:c r="Z13" s="98"/>
      <x:c r="AA13" s="98"/>
      <x:c r="AB13" s="98"/>
      <x:c r="AC13" s="98"/>
      <x:c r="AD13" s="99" t="str">
        <x:f>IF(A13="","",I13*AC13/MAX(0.1,AC13-K13))</x:f>
      </x:c>
      <x:c r="AE13" s="99" t="str">
        <x:f>IF(A13="","",AD13+J13)</x:f>
      </x:c>
      <x:c r="AF13" s="99" t="str">
        <x:f>IF(A13="","",IF(COUNT(E13:Q13)&lt;13,"",0.20*AR13+0.30*AS13+0.05*AT13+0.10*AU13+0.10*AV13+0.15*AW13+0.10*AX13))</x:f>
      </x:c>
      <x:c r="AG13" s="99" t="str">
        <x:f>IF(A13="","",IF(COUNT(E13:Q13)&lt;13,"",1+S13*T13*(1-U13)))</x:f>
      </x:c>
      <x:c r="AH13" s="99" t="str">
        <x:f>IF(A13="","",IF(COUNT(E13:Q13)&lt;13,"",AF13*AG13*V13*W13*X13*Z13))</x:f>
      </x:c>
      <x:c r="AI13" s="99" t="str">
        <x:f>IF(OR(A13="",E13="",F13="",G13="",H13=""),"",E13*V31_Parameters!$K$4+F13*V31_Parameters!$K$5+G13*V31_Parameters!$K$6+H13*V31_Parameters!$K$7)</x:f>
      </x:c>
      <x:c r="AJ13" s="99" t="str">
        <x:f>IF(A13="","",VLOOKUP(C13,V31_Benchmark!$A$4:$X$13,3,FALSE)*V31_Parameters!$K$4+VLOOKUP(C13,V31_Benchmark!$A$4:$X$13,4,FALSE)*V31_Parameters!$K$5+VLOOKUP(C13,V31_Benchmark!$A$4:$X$13,5,FALSE)*V31_Parameters!$K$6+VLOOKUP(C13,V31_Benchmark!$A$4:$X$13,6,FALSE)*V31_Parameters!$K$7)</x:f>
      </x:c>
      <x:c r="AK13" s="99" t="str">
        <x:f>IF(OR(A13="",AI13="",AJ13=""),"",AI13/MAX(0.01,AJ13))</x:f>
      </x:c>
      <x:c r="AL13" s="99" t="str">
        <x:f>IF(A13="","",IF(COUNT(E13:Q13)&lt;13,"",AH13/MAX(0.01,AK13)))</x:f>
      </x:c>
      <x:c r="AM13" s="99" t="str">
        <x:f>IF(A13="","",VLOOKUP(B13,V31_Parameters!$A$14:$C$27,2,FALSE))</x:f>
      </x:c>
      <x:c r="AN13" s="99" t="str">
        <x:f>IF(A13="","",VLOOKUP(B13,V31_Parameters!$A$14:$C$27,3,FALSE))</x:f>
      </x:c>
      <x:c r="AO13" s="99" t="str">
        <x:f>IF(A13="","",IF(COUNT(E13:Q13)&lt;13,"INPUT NEEDED",IF(OR(AM13="",AN13=""),"UNMAPPED",IF(AL13&lt;AM13,"PRE-SIM BELOW",IF(AL13&gt;AN13,"PRE-SIM ABOVE","WITHIN ARCHETYPE BAND")))))</x:f>
      </x:c>
      <x:c r="AP13" s="99" t="str">
        <x:f>IF(A13="","",IF(COUNT(E13:Q13)&lt;13,"INPUT",IF(AG13&gt;1.05,"SKILL",IF(AK13&gt;1.08,"COST",IF(AS13&gt;1.08,"DPS",IF(AR13&gt;1.08,"EHP","SIMULATION"))))))</x:f>
      </x:c>
      <x:c r="AQ13" s="99" t="str">
        <x:f>IF(A13="","","UNVALIDATED — SIMULATION / REPLAY REQUIRED")</x:f>
      </x:c>
      <x:c r="AR13" s="102" t="str">
        <x:f>IF(A13="","",AE13/(VLOOKUP(C13,V31_Benchmark!$A$4:$X$13,7,FALSE)*AC13/MAX(0.1,AC13-VLOOKUP(C13,V31_Benchmark!$A$4:$X$13,9,FALSE))+VLOOKUP(C13,V31_Benchmark!$A$4:$X$13,8,FALSE)))</x:f>
      </x:c>
      <x:c r="AS13" s="102" t="str">
        <x:f>IF(A13="","",(L13+P13*V31_Parameters!$F$6)/(VLOOKUP(C13,V31_Benchmark!$A$4:$X$13,10,FALSE)+VLOOKUP(C13,V31_Benchmark!$A$4:$X$13,14,FALSE)*V31_Parameters!$F$6))</x:f>
      </x:c>
      <x:c r="AT13" s="102" t="str">
        <x:f>IF(A13="","",IF(VLOOKUP(C13,V31_Benchmark!$A$4:$X$13,11,FALSE)=0,IF(M13=0,1,2),M13/VLOOKUP(C13,V31_Benchmark!$A$4:$X$13,11,FALSE)))</x:f>
      </x:c>
      <x:c r="AU13" s="102" t="str">
        <x:f>IF(A13="","",N13/VLOOKUP(C13,V31_Benchmark!$A$4:$X$13,12,FALSE))</x:f>
      </x:c>
      <x:c r="AV13" s="102" t="str">
        <x:f>IF(A13="","",O13/VLOOKUP(C13,V31_Benchmark!$A$4:$X$13,13,FALSE))</x:f>
      </x:c>
      <x:c r="AW13" s="102" t="str">
        <x:f>IF(A13="","",Q13/VLOOKUP(C13,V31_Benchmark!$A$4:$X$13,15,FALSE))</x:f>
      </x:c>
      <x:c r="AX13" s="102" t="str">
        <x:f>IF(A13="","",(1+Y13)/(1+VLOOKUP(C13,V31_Benchmark!$A$4:$X$13,21,FALSE)))</x:f>
      </x:c>
    </x:row>
    <x:row r="14">
      <x:c r="A14" s="93"/>
      <x:c r="B14" s="93"/>
      <x:c r="C14" s="93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  <x:c r="P14" s="98"/>
      <x:c r="Q14" s="98"/>
      <x:c r="R14" s="98"/>
      <x:c r="S14" s="98"/>
      <x:c r="T14" s="98"/>
      <x:c r="U14" s="98"/>
      <x:c r="V14" s="98"/>
      <x:c r="W14" s="98"/>
      <x:c r="X14" s="98"/>
      <x:c r="Y14" s="98"/>
      <x:c r="Z14" s="98"/>
      <x:c r="AA14" s="98"/>
      <x:c r="AB14" s="98"/>
      <x:c r="AC14" s="98"/>
      <x:c r="AD14" s="99" t="str">
        <x:f>IF(A14="","",I14*AC14/MAX(0.1,AC14-K14))</x:f>
      </x:c>
      <x:c r="AE14" s="99" t="str">
        <x:f>IF(A14="","",AD14+J14)</x:f>
      </x:c>
      <x:c r="AF14" s="99" t="str">
        <x:f>IF(A14="","",IF(COUNT(E14:Q14)&lt;13,"",0.20*AR14+0.30*AS14+0.05*AT14+0.10*AU14+0.10*AV14+0.15*AW14+0.10*AX14))</x:f>
      </x:c>
      <x:c r="AG14" s="99" t="str">
        <x:f>IF(A14="","",IF(COUNT(E14:Q14)&lt;13,"",1+S14*T14*(1-U14)))</x:f>
      </x:c>
      <x:c r="AH14" s="99" t="str">
        <x:f>IF(A14="","",IF(COUNT(E14:Q14)&lt;13,"",AF14*AG14*V14*W14*X14*Z14))</x:f>
      </x:c>
      <x:c r="AI14" s="99" t="str">
        <x:f>IF(OR(A14="",E14="",F14="",G14="",H14=""),"",E14*V31_Parameters!$K$4+F14*V31_Parameters!$K$5+G14*V31_Parameters!$K$6+H14*V31_Parameters!$K$7)</x:f>
      </x:c>
      <x:c r="AJ14" s="99" t="str">
        <x:f>IF(A14="","",VLOOKUP(C14,V31_Benchmark!$A$4:$X$13,3,FALSE)*V31_Parameters!$K$4+VLOOKUP(C14,V31_Benchmark!$A$4:$X$13,4,FALSE)*V31_Parameters!$K$5+VLOOKUP(C14,V31_Benchmark!$A$4:$X$13,5,FALSE)*V31_Parameters!$K$6+VLOOKUP(C14,V31_Benchmark!$A$4:$X$13,6,FALSE)*V31_Parameters!$K$7)</x:f>
      </x:c>
      <x:c r="AK14" s="99" t="str">
        <x:f>IF(OR(A14="",AI14="",AJ14=""),"",AI14/MAX(0.01,AJ14))</x:f>
      </x:c>
      <x:c r="AL14" s="99" t="str">
        <x:f>IF(A14="","",IF(COUNT(E14:Q14)&lt;13,"",AH14/MAX(0.01,AK14)))</x:f>
      </x:c>
      <x:c r="AM14" s="99" t="str">
        <x:f>IF(A14="","",VLOOKUP(B14,V31_Parameters!$A$14:$C$27,2,FALSE))</x:f>
      </x:c>
      <x:c r="AN14" s="99" t="str">
        <x:f>IF(A14="","",VLOOKUP(B14,V31_Parameters!$A$14:$C$27,3,FALSE))</x:f>
      </x:c>
      <x:c r="AO14" s="99" t="str">
        <x:f>IF(A14="","",IF(COUNT(E14:Q14)&lt;13,"INPUT NEEDED",IF(OR(AM14="",AN14=""),"UNMAPPED",IF(AL14&lt;AM14,"PRE-SIM BELOW",IF(AL14&gt;AN14,"PRE-SIM ABOVE","WITHIN ARCHETYPE BAND")))))</x:f>
      </x:c>
      <x:c r="AP14" s="99" t="str">
        <x:f>IF(A14="","",IF(COUNT(E14:Q14)&lt;13,"INPUT",IF(AG14&gt;1.05,"SKILL",IF(AK14&gt;1.08,"COST",IF(AS14&gt;1.08,"DPS",IF(AR14&gt;1.08,"EHP","SIMULATION"))))))</x:f>
      </x:c>
      <x:c r="AQ14" s="99" t="str">
        <x:f>IF(A14="","","UNVALIDATED — SIMULATION / REPLAY REQUIRED")</x:f>
      </x:c>
      <x:c r="AR14" s="102" t="str">
        <x:f>IF(A14="","",AE14/(VLOOKUP(C14,V31_Benchmark!$A$4:$X$13,7,FALSE)*AC14/MAX(0.1,AC14-VLOOKUP(C14,V31_Benchmark!$A$4:$X$13,9,FALSE))+VLOOKUP(C14,V31_Benchmark!$A$4:$X$13,8,FALSE)))</x:f>
      </x:c>
      <x:c r="AS14" s="102" t="str">
        <x:f>IF(A14="","",(L14+P14*V31_Parameters!$F$6)/(VLOOKUP(C14,V31_Benchmark!$A$4:$X$13,10,FALSE)+VLOOKUP(C14,V31_Benchmark!$A$4:$X$13,14,FALSE)*V31_Parameters!$F$6))</x:f>
      </x:c>
      <x:c r="AT14" s="102" t="str">
        <x:f>IF(A14="","",IF(VLOOKUP(C14,V31_Benchmark!$A$4:$X$13,11,FALSE)=0,IF(M14=0,1,2),M14/VLOOKUP(C14,V31_Benchmark!$A$4:$X$13,11,FALSE)))</x:f>
      </x:c>
      <x:c r="AU14" s="102" t="str">
        <x:f>IF(A14="","",N14/VLOOKUP(C14,V31_Benchmark!$A$4:$X$13,12,FALSE))</x:f>
      </x:c>
      <x:c r="AV14" s="102" t="str">
        <x:f>IF(A14="","",O14/VLOOKUP(C14,V31_Benchmark!$A$4:$X$13,13,FALSE))</x:f>
      </x:c>
      <x:c r="AW14" s="102" t="str">
        <x:f>IF(A14="","",Q14/VLOOKUP(C14,V31_Benchmark!$A$4:$X$13,15,FALSE))</x:f>
      </x:c>
      <x:c r="AX14" s="102" t="str">
        <x:f>IF(A14="","",(1+Y14)/(1+VLOOKUP(C14,V31_Benchmark!$A$4:$X$13,21,FALSE)))</x:f>
      </x:c>
    </x:row>
    <x:row r="15">
      <x:c r="A15" s="93"/>
      <x:c r="B15" s="93"/>
      <x:c r="C15" s="93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  <x:c r="AA15" s="98"/>
      <x:c r="AB15" s="98"/>
      <x:c r="AC15" s="98"/>
      <x:c r="AD15" s="99" t="str">
        <x:f>IF(A15="","",I15*AC15/MAX(0.1,AC15-K15))</x:f>
      </x:c>
      <x:c r="AE15" s="99" t="str">
        <x:f>IF(A15="","",AD15+J15)</x:f>
      </x:c>
      <x:c r="AF15" s="99" t="str">
        <x:f>IF(A15="","",IF(COUNT(E15:Q15)&lt;13,"",0.20*AR15+0.30*AS15+0.05*AT15+0.10*AU15+0.10*AV15+0.15*AW15+0.10*AX15))</x:f>
      </x:c>
      <x:c r="AG15" s="99" t="str">
        <x:f>IF(A15="","",IF(COUNT(E15:Q15)&lt;13,"",1+S15*T15*(1-U15)))</x:f>
      </x:c>
      <x:c r="AH15" s="99" t="str">
        <x:f>IF(A15="","",IF(COUNT(E15:Q15)&lt;13,"",AF15*AG15*V15*W15*X15*Z15))</x:f>
      </x:c>
      <x:c r="AI15" s="99" t="str">
        <x:f>IF(OR(A15="",E15="",F15="",G15="",H15=""),"",E15*V31_Parameters!$K$4+F15*V31_Parameters!$K$5+G15*V31_Parameters!$K$6+H15*V31_Parameters!$K$7)</x:f>
      </x:c>
      <x:c r="AJ15" s="99" t="str">
        <x:f>IF(A15="","",VLOOKUP(C15,V31_Benchmark!$A$4:$X$13,3,FALSE)*V31_Parameters!$K$4+VLOOKUP(C15,V31_Benchmark!$A$4:$X$13,4,FALSE)*V31_Parameters!$K$5+VLOOKUP(C15,V31_Benchmark!$A$4:$X$13,5,FALSE)*V31_Parameters!$K$6+VLOOKUP(C15,V31_Benchmark!$A$4:$X$13,6,FALSE)*V31_Parameters!$K$7)</x:f>
      </x:c>
      <x:c r="AK15" s="99" t="str">
        <x:f>IF(OR(A15="",AI15="",AJ15=""),"",AI15/MAX(0.01,AJ15))</x:f>
      </x:c>
      <x:c r="AL15" s="99" t="str">
        <x:f>IF(A15="","",IF(COUNT(E15:Q15)&lt;13,"",AH15/MAX(0.01,AK15)))</x:f>
      </x:c>
      <x:c r="AM15" s="99" t="str">
        <x:f>IF(A15="","",VLOOKUP(B15,V31_Parameters!$A$14:$C$27,2,FALSE))</x:f>
      </x:c>
      <x:c r="AN15" s="99" t="str">
        <x:f>IF(A15="","",VLOOKUP(B15,V31_Parameters!$A$14:$C$27,3,FALSE))</x:f>
      </x:c>
      <x:c r="AO15" s="99" t="str">
        <x:f>IF(A15="","",IF(COUNT(E15:Q15)&lt;13,"INPUT NEEDED",IF(OR(AM15="",AN15=""),"UNMAPPED",IF(AL15&lt;AM15,"PRE-SIM BELOW",IF(AL15&gt;AN15,"PRE-SIM ABOVE","WITHIN ARCHETYPE BAND")))))</x:f>
      </x:c>
      <x:c r="AP15" s="99" t="str">
        <x:f>IF(A15="","",IF(COUNT(E15:Q15)&lt;13,"INPUT",IF(AG15&gt;1.05,"SKILL",IF(AK15&gt;1.08,"COST",IF(AS15&gt;1.08,"DPS",IF(AR15&gt;1.08,"EHP","SIMULATION"))))))</x:f>
      </x:c>
      <x:c r="AQ15" s="99" t="str">
        <x:f>IF(A15="","","UNVALIDATED — SIMULATION / REPLAY REQUIRED")</x:f>
      </x:c>
      <x:c r="AR15" s="102" t="str">
        <x:f>IF(A15="","",AE15/(VLOOKUP(C15,V31_Benchmark!$A$4:$X$13,7,FALSE)*AC15/MAX(0.1,AC15-VLOOKUP(C15,V31_Benchmark!$A$4:$X$13,9,FALSE))+VLOOKUP(C15,V31_Benchmark!$A$4:$X$13,8,FALSE)))</x:f>
      </x:c>
      <x:c r="AS15" s="102" t="str">
        <x:f>IF(A15="","",(L15+P15*V31_Parameters!$F$6)/(VLOOKUP(C15,V31_Benchmark!$A$4:$X$13,10,FALSE)+VLOOKUP(C15,V31_Benchmark!$A$4:$X$13,14,FALSE)*V31_Parameters!$F$6))</x:f>
      </x:c>
      <x:c r="AT15" s="102" t="str">
        <x:f>IF(A15="","",IF(VLOOKUP(C15,V31_Benchmark!$A$4:$X$13,11,FALSE)=0,IF(M15=0,1,2),M15/VLOOKUP(C15,V31_Benchmark!$A$4:$X$13,11,FALSE)))</x:f>
      </x:c>
      <x:c r="AU15" s="102" t="str">
        <x:f>IF(A15="","",N15/VLOOKUP(C15,V31_Benchmark!$A$4:$X$13,12,FALSE))</x:f>
      </x:c>
      <x:c r="AV15" s="102" t="str">
        <x:f>IF(A15="","",O15/VLOOKUP(C15,V31_Benchmark!$A$4:$X$13,13,FALSE))</x:f>
      </x:c>
      <x:c r="AW15" s="102" t="str">
        <x:f>IF(A15="","",Q15/VLOOKUP(C15,V31_Benchmark!$A$4:$X$13,15,FALSE))</x:f>
      </x:c>
      <x:c r="AX15" s="102" t="str">
        <x:f>IF(A15="","",(1+Y15)/(1+VLOOKUP(C15,V31_Benchmark!$A$4:$X$13,21,FALSE)))</x:f>
      </x:c>
    </x:row>
    <x:row r="16">
      <x:c r="A16" s="93"/>
      <x:c r="B16" s="93"/>
      <x:c r="C16" s="93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  <x:c r="Q16" s="98"/>
      <x:c r="R16" s="98"/>
      <x:c r="S16" s="98"/>
      <x:c r="T16" s="98"/>
      <x:c r="U16" s="98"/>
      <x:c r="V16" s="98"/>
      <x:c r="W16" s="98"/>
      <x:c r="X16" s="98"/>
      <x:c r="Y16" s="98"/>
      <x:c r="Z16" s="98"/>
      <x:c r="AA16" s="98"/>
      <x:c r="AB16" s="98"/>
      <x:c r="AC16" s="98"/>
      <x:c r="AD16" s="99" t="str">
        <x:f>IF(A16="","",I16*AC16/MAX(0.1,AC16-K16))</x:f>
      </x:c>
      <x:c r="AE16" s="99" t="str">
        <x:f>IF(A16="","",AD16+J16)</x:f>
      </x:c>
      <x:c r="AF16" s="99" t="str">
        <x:f>IF(A16="","",IF(COUNT(E16:Q16)&lt;13,"",0.20*AR16+0.30*AS16+0.05*AT16+0.10*AU16+0.10*AV16+0.15*AW16+0.10*AX16))</x:f>
      </x:c>
      <x:c r="AG16" s="99" t="str">
        <x:f>IF(A16="","",IF(COUNT(E16:Q16)&lt;13,"",1+S16*T16*(1-U16)))</x:f>
      </x:c>
      <x:c r="AH16" s="99" t="str">
        <x:f>IF(A16="","",IF(COUNT(E16:Q16)&lt;13,"",AF16*AG16*V16*W16*X16*Z16))</x:f>
      </x:c>
      <x:c r="AI16" s="99" t="str">
        <x:f>IF(OR(A16="",E16="",F16="",G16="",H16=""),"",E16*V31_Parameters!$K$4+F16*V31_Parameters!$K$5+G16*V31_Parameters!$K$6+H16*V31_Parameters!$K$7)</x:f>
      </x:c>
      <x:c r="AJ16" s="99" t="str">
        <x:f>IF(A16="","",VLOOKUP(C16,V31_Benchmark!$A$4:$X$13,3,FALSE)*V31_Parameters!$K$4+VLOOKUP(C16,V31_Benchmark!$A$4:$X$13,4,FALSE)*V31_Parameters!$K$5+VLOOKUP(C16,V31_Benchmark!$A$4:$X$13,5,FALSE)*V31_Parameters!$K$6+VLOOKUP(C16,V31_Benchmark!$A$4:$X$13,6,FALSE)*V31_Parameters!$K$7)</x:f>
      </x:c>
      <x:c r="AK16" s="99" t="str">
        <x:f>IF(OR(A16="",AI16="",AJ16=""),"",AI16/MAX(0.01,AJ16))</x:f>
      </x:c>
      <x:c r="AL16" s="99" t="str">
        <x:f>IF(A16="","",IF(COUNT(E16:Q16)&lt;13,"",AH16/MAX(0.01,AK16)))</x:f>
      </x:c>
      <x:c r="AM16" s="99" t="str">
        <x:f>IF(A16="","",VLOOKUP(B16,V31_Parameters!$A$14:$C$27,2,FALSE))</x:f>
      </x:c>
      <x:c r="AN16" s="99" t="str">
        <x:f>IF(A16="","",VLOOKUP(B16,V31_Parameters!$A$14:$C$27,3,FALSE))</x:f>
      </x:c>
      <x:c r="AO16" s="99" t="str">
        <x:f>IF(A16="","",IF(COUNT(E16:Q16)&lt;13,"INPUT NEEDED",IF(OR(AM16="",AN16=""),"UNMAPPED",IF(AL16&lt;AM16,"PRE-SIM BELOW",IF(AL16&gt;AN16,"PRE-SIM ABOVE","WITHIN ARCHETYPE BAND")))))</x:f>
      </x:c>
      <x:c r="AP16" s="99" t="str">
        <x:f>IF(A16="","",IF(COUNT(E16:Q16)&lt;13,"INPUT",IF(AG16&gt;1.05,"SKILL",IF(AK16&gt;1.08,"COST",IF(AS16&gt;1.08,"DPS",IF(AR16&gt;1.08,"EHP","SIMULATION"))))))</x:f>
      </x:c>
      <x:c r="AQ16" s="99" t="str">
        <x:f>IF(A16="","","UNVALIDATED — SIMULATION / REPLAY REQUIRED")</x:f>
      </x:c>
      <x:c r="AR16" s="102" t="str">
        <x:f>IF(A16="","",AE16/(VLOOKUP(C16,V31_Benchmark!$A$4:$X$13,7,FALSE)*AC16/MAX(0.1,AC16-VLOOKUP(C16,V31_Benchmark!$A$4:$X$13,9,FALSE))+VLOOKUP(C16,V31_Benchmark!$A$4:$X$13,8,FALSE)))</x:f>
      </x:c>
      <x:c r="AS16" s="102" t="str">
        <x:f>IF(A16="","",(L16+P16*V31_Parameters!$F$6)/(VLOOKUP(C16,V31_Benchmark!$A$4:$X$13,10,FALSE)+VLOOKUP(C16,V31_Benchmark!$A$4:$X$13,14,FALSE)*V31_Parameters!$F$6))</x:f>
      </x:c>
      <x:c r="AT16" s="102" t="str">
        <x:f>IF(A16="","",IF(VLOOKUP(C16,V31_Benchmark!$A$4:$X$13,11,FALSE)=0,IF(M16=0,1,2),M16/VLOOKUP(C16,V31_Benchmark!$A$4:$X$13,11,FALSE)))</x:f>
      </x:c>
      <x:c r="AU16" s="102" t="str">
        <x:f>IF(A16="","",N16/VLOOKUP(C16,V31_Benchmark!$A$4:$X$13,12,FALSE))</x:f>
      </x:c>
      <x:c r="AV16" s="102" t="str">
        <x:f>IF(A16="","",O16/VLOOKUP(C16,V31_Benchmark!$A$4:$X$13,13,FALSE))</x:f>
      </x:c>
      <x:c r="AW16" s="102" t="str">
        <x:f>IF(A16="","",Q16/VLOOKUP(C16,V31_Benchmark!$A$4:$X$13,15,FALSE))</x:f>
      </x:c>
      <x:c r="AX16" s="102" t="str">
        <x:f>IF(A16="","",(1+Y16)/(1+VLOOKUP(C16,V31_Benchmark!$A$4:$X$13,21,FALSE)))</x:f>
      </x:c>
    </x:row>
    <x:row r="17">
      <x:c r="A17" s="93"/>
      <x:c r="B17" s="93"/>
      <x:c r="C17" s="93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8"/>
      <x:c r="Y17" s="98"/>
      <x:c r="Z17" s="98"/>
      <x:c r="AA17" s="98"/>
      <x:c r="AB17" s="98"/>
      <x:c r="AC17" s="98"/>
      <x:c r="AD17" s="99" t="str">
        <x:f>IF(A17="","",I17*AC17/MAX(0.1,AC17-K17))</x:f>
      </x:c>
      <x:c r="AE17" s="99" t="str">
        <x:f>IF(A17="","",AD17+J17)</x:f>
      </x:c>
      <x:c r="AF17" s="99" t="str">
        <x:f>IF(A17="","",IF(COUNT(E17:Q17)&lt;13,"",0.20*AR17+0.30*AS17+0.05*AT17+0.10*AU17+0.10*AV17+0.15*AW17+0.10*AX17))</x:f>
      </x:c>
      <x:c r="AG17" s="99" t="str">
        <x:f>IF(A17="","",IF(COUNT(E17:Q17)&lt;13,"",1+S17*T17*(1-U17)))</x:f>
      </x:c>
      <x:c r="AH17" s="99" t="str">
        <x:f>IF(A17="","",IF(COUNT(E17:Q17)&lt;13,"",AF17*AG17*V17*W17*X17*Z17))</x:f>
      </x:c>
      <x:c r="AI17" s="99" t="str">
        <x:f>IF(OR(A17="",E17="",F17="",G17="",H17=""),"",E17*V31_Parameters!$K$4+F17*V31_Parameters!$K$5+G17*V31_Parameters!$K$6+H17*V31_Parameters!$K$7)</x:f>
      </x:c>
      <x:c r="AJ17" s="99" t="str">
        <x:f>IF(A17="","",VLOOKUP(C17,V31_Benchmark!$A$4:$X$13,3,FALSE)*V31_Parameters!$K$4+VLOOKUP(C17,V31_Benchmark!$A$4:$X$13,4,FALSE)*V31_Parameters!$K$5+VLOOKUP(C17,V31_Benchmark!$A$4:$X$13,5,FALSE)*V31_Parameters!$K$6+VLOOKUP(C17,V31_Benchmark!$A$4:$X$13,6,FALSE)*V31_Parameters!$K$7)</x:f>
      </x:c>
      <x:c r="AK17" s="99" t="str">
        <x:f>IF(OR(A17="",AI17="",AJ17=""),"",AI17/MAX(0.01,AJ17))</x:f>
      </x:c>
      <x:c r="AL17" s="99" t="str">
        <x:f>IF(A17="","",IF(COUNT(E17:Q17)&lt;13,"",AH17/MAX(0.01,AK17)))</x:f>
      </x:c>
      <x:c r="AM17" s="99" t="str">
        <x:f>IF(A17="","",VLOOKUP(B17,V31_Parameters!$A$14:$C$27,2,FALSE))</x:f>
      </x:c>
      <x:c r="AN17" s="99" t="str">
        <x:f>IF(A17="","",VLOOKUP(B17,V31_Parameters!$A$14:$C$27,3,FALSE))</x:f>
      </x:c>
      <x:c r="AO17" s="99" t="str">
        <x:f>IF(A17="","",IF(COUNT(E17:Q17)&lt;13,"INPUT NEEDED",IF(OR(AM17="",AN17=""),"UNMAPPED",IF(AL17&lt;AM17,"PRE-SIM BELOW",IF(AL17&gt;AN17,"PRE-SIM ABOVE","WITHIN ARCHETYPE BAND")))))</x:f>
      </x:c>
      <x:c r="AP17" s="99" t="str">
        <x:f>IF(A17="","",IF(COUNT(E17:Q17)&lt;13,"INPUT",IF(AG17&gt;1.05,"SKILL",IF(AK17&gt;1.08,"COST",IF(AS17&gt;1.08,"DPS",IF(AR17&gt;1.08,"EHP","SIMULATION"))))))</x:f>
      </x:c>
      <x:c r="AQ17" s="99" t="str">
        <x:f>IF(A17="","","UNVALIDATED — SIMULATION / REPLAY REQUIRED")</x:f>
      </x:c>
      <x:c r="AR17" s="102" t="str">
        <x:f>IF(A17="","",AE17/(VLOOKUP(C17,V31_Benchmark!$A$4:$X$13,7,FALSE)*AC17/MAX(0.1,AC17-VLOOKUP(C17,V31_Benchmark!$A$4:$X$13,9,FALSE))+VLOOKUP(C17,V31_Benchmark!$A$4:$X$13,8,FALSE)))</x:f>
      </x:c>
      <x:c r="AS17" s="102" t="str">
        <x:f>IF(A17="","",(L17+P17*V31_Parameters!$F$6)/(VLOOKUP(C17,V31_Benchmark!$A$4:$X$13,10,FALSE)+VLOOKUP(C17,V31_Benchmark!$A$4:$X$13,14,FALSE)*V31_Parameters!$F$6))</x:f>
      </x:c>
      <x:c r="AT17" s="102" t="str">
        <x:f>IF(A17="","",IF(VLOOKUP(C17,V31_Benchmark!$A$4:$X$13,11,FALSE)=0,IF(M17=0,1,2),M17/VLOOKUP(C17,V31_Benchmark!$A$4:$X$13,11,FALSE)))</x:f>
      </x:c>
      <x:c r="AU17" s="102" t="str">
        <x:f>IF(A17="","",N17/VLOOKUP(C17,V31_Benchmark!$A$4:$X$13,12,FALSE))</x:f>
      </x:c>
      <x:c r="AV17" s="102" t="str">
        <x:f>IF(A17="","",O17/VLOOKUP(C17,V31_Benchmark!$A$4:$X$13,13,FALSE))</x:f>
      </x:c>
      <x:c r="AW17" s="102" t="str">
        <x:f>IF(A17="","",Q17/VLOOKUP(C17,V31_Benchmark!$A$4:$X$13,15,FALSE))</x:f>
      </x:c>
      <x:c r="AX17" s="102" t="str">
        <x:f>IF(A17="","",(1+Y17)/(1+VLOOKUP(C17,V31_Benchmark!$A$4:$X$13,21,FALSE)))</x:f>
      </x:c>
    </x:row>
    <x:row r="18">
      <x:c r="A18" s="93"/>
      <x:c r="B18" s="93"/>
      <x:c r="C18" s="93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  <x:c r="P18" s="98"/>
      <x:c r="Q18" s="98"/>
      <x:c r="R18" s="98"/>
      <x:c r="S18" s="98"/>
      <x:c r="T18" s="98"/>
      <x:c r="U18" s="98"/>
      <x:c r="V18" s="98"/>
      <x:c r="W18" s="98"/>
      <x:c r="X18" s="98"/>
      <x:c r="Y18" s="98"/>
      <x:c r="Z18" s="98"/>
      <x:c r="AA18" s="98"/>
      <x:c r="AB18" s="98"/>
      <x:c r="AC18" s="98"/>
      <x:c r="AD18" s="99" t="str">
        <x:f>IF(A18="","",I18*AC18/MAX(0.1,AC18-K18))</x:f>
      </x:c>
      <x:c r="AE18" s="99" t="str">
        <x:f>IF(A18="","",AD18+J18)</x:f>
      </x:c>
      <x:c r="AF18" s="99" t="str">
        <x:f>IF(A18="","",IF(COUNT(E18:Q18)&lt;13,"",0.20*AR18+0.30*AS18+0.05*AT18+0.10*AU18+0.10*AV18+0.15*AW18+0.10*AX18))</x:f>
      </x:c>
      <x:c r="AG18" s="99" t="str">
        <x:f>IF(A18="","",IF(COUNT(E18:Q18)&lt;13,"",1+S18*T18*(1-U18)))</x:f>
      </x:c>
      <x:c r="AH18" s="99" t="str">
        <x:f>IF(A18="","",IF(COUNT(E18:Q18)&lt;13,"",AF18*AG18*V18*W18*X18*Z18))</x:f>
      </x:c>
      <x:c r="AI18" s="99" t="str">
        <x:f>IF(OR(A18="",E18="",F18="",G18="",H18=""),"",E18*V31_Parameters!$K$4+F18*V31_Parameters!$K$5+G18*V31_Parameters!$K$6+H18*V31_Parameters!$K$7)</x:f>
      </x:c>
      <x:c r="AJ18" s="99" t="str">
        <x:f>IF(A18="","",VLOOKUP(C18,V31_Benchmark!$A$4:$X$13,3,FALSE)*V31_Parameters!$K$4+VLOOKUP(C18,V31_Benchmark!$A$4:$X$13,4,FALSE)*V31_Parameters!$K$5+VLOOKUP(C18,V31_Benchmark!$A$4:$X$13,5,FALSE)*V31_Parameters!$K$6+VLOOKUP(C18,V31_Benchmark!$A$4:$X$13,6,FALSE)*V31_Parameters!$K$7)</x:f>
      </x:c>
      <x:c r="AK18" s="99" t="str">
        <x:f>IF(OR(A18="",AI18="",AJ18=""),"",AI18/MAX(0.01,AJ18))</x:f>
      </x:c>
      <x:c r="AL18" s="99" t="str">
        <x:f>IF(A18="","",IF(COUNT(E18:Q18)&lt;13,"",AH18/MAX(0.01,AK18)))</x:f>
      </x:c>
      <x:c r="AM18" s="99" t="str">
        <x:f>IF(A18="","",VLOOKUP(B18,V31_Parameters!$A$14:$C$27,2,FALSE))</x:f>
      </x:c>
      <x:c r="AN18" s="99" t="str">
        <x:f>IF(A18="","",VLOOKUP(B18,V31_Parameters!$A$14:$C$27,3,FALSE))</x:f>
      </x:c>
      <x:c r="AO18" s="99" t="str">
        <x:f>IF(A18="","",IF(COUNT(E18:Q18)&lt;13,"INPUT NEEDED",IF(OR(AM18="",AN18=""),"UNMAPPED",IF(AL18&lt;AM18,"PRE-SIM BELOW",IF(AL18&gt;AN18,"PRE-SIM ABOVE","WITHIN ARCHETYPE BAND")))))</x:f>
      </x:c>
      <x:c r="AP18" s="99" t="str">
        <x:f>IF(A18="","",IF(COUNT(E18:Q18)&lt;13,"INPUT",IF(AG18&gt;1.05,"SKILL",IF(AK18&gt;1.08,"COST",IF(AS18&gt;1.08,"DPS",IF(AR18&gt;1.08,"EHP","SIMULATION"))))))</x:f>
      </x:c>
      <x:c r="AQ18" s="99" t="str">
        <x:f>IF(A18="","","UNVALIDATED — SIMULATION / REPLAY REQUIRED")</x:f>
      </x:c>
      <x:c r="AR18" s="102" t="str">
        <x:f>IF(A18="","",AE18/(VLOOKUP(C18,V31_Benchmark!$A$4:$X$13,7,FALSE)*AC18/MAX(0.1,AC18-VLOOKUP(C18,V31_Benchmark!$A$4:$X$13,9,FALSE))+VLOOKUP(C18,V31_Benchmark!$A$4:$X$13,8,FALSE)))</x:f>
      </x:c>
      <x:c r="AS18" s="102" t="str">
        <x:f>IF(A18="","",(L18+P18*V31_Parameters!$F$6)/(VLOOKUP(C18,V31_Benchmark!$A$4:$X$13,10,FALSE)+VLOOKUP(C18,V31_Benchmark!$A$4:$X$13,14,FALSE)*V31_Parameters!$F$6))</x:f>
      </x:c>
      <x:c r="AT18" s="102" t="str">
        <x:f>IF(A18="","",IF(VLOOKUP(C18,V31_Benchmark!$A$4:$X$13,11,FALSE)=0,IF(M18=0,1,2),M18/VLOOKUP(C18,V31_Benchmark!$A$4:$X$13,11,FALSE)))</x:f>
      </x:c>
      <x:c r="AU18" s="102" t="str">
        <x:f>IF(A18="","",N18/VLOOKUP(C18,V31_Benchmark!$A$4:$X$13,12,FALSE))</x:f>
      </x:c>
      <x:c r="AV18" s="102" t="str">
        <x:f>IF(A18="","",O18/VLOOKUP(C18,V31_Benchmark!$A$4:$X$13,13,FALSE))</x:f>
      </x:c>
      <x:c r="AW18" s="102" t="str">
        <x:f>IF(A18="","",Q18/VLOOKUP(C18,V31_Benchmark!$A$4:$X$13,15,FALSE))</x:f>
      </x:c>
      <x:c r="AX18" s="102" t="str">
        <x:f>IF(A18="","",(1+Y18)/(1+VLOOKUP(C18,V31_Benchmark!$A$4:$X$13,21,FALSE)))</x:f>
      </x:c>
    </x:row>
  </x:sheetData>
  <x:mergeCells>
    <x:mergeCell ref="A1:A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0" hidden="0" customWidth="1"/>
  </x:cols>
  <x:sheetData>
    <x:row r="1">
      <x:c r="A1" s="87" t="str">
        <x:v>V3.1 Diagnosis — source of deviation</x:v>
      </x:c>
      <x:c r="B1" s="87"/>
      <x:c r="C1" s="87"/>
      <x:c r="D1" s="87"/>
      <x:c r="E1" s="87"/>
      <x:c r="F1" s="87"/>
      <x:c r="G1" s="87"/>
      <x:c r="H1" s="87"/>
      <x:c r="I1" s="87"/>
      <x:c r="J1" s="87"/>
    </x:row>
    <x:row r="3">
      <x:c r="A3" s="92" t="str">
        <x:v>Unit</x:v>
      </x:c>
      <x:c r="B3" s="92" t="str">
        <x:v>Benchmark</x:v>
      </x:c>
      <x:c r="C3" s="92" t="str">
        <x:v>Archetype</x:v>
      </x:c>
      <x:c r="D3" s="92" t="str">
        <x:v>BalanceScore</x:v>
      </x:c>
      <x:c r="E3" s="92" t="str">
        <x:v>Band</x:v>
      </x:c>
      <x:c r="F3" s="92" t="str">
        <x:v>Status</x:v>
      </x:c>
      <x:c r="G3" s="92" t="str">
        <x:v>StaticScore</x:v>
      </x:c>
      <x:c r="H3" s="92" t="str">
        <x:v>SkillFactor</x:v>
      </x:c>
      <x:c r="I3" s="92" t="str">
        <x:v>CostRatio</x:v>
      </x:c>
      <x:c r="J3" s="92" t="str">
        <x:v>Diagnosis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IF(V31_CustomUnits!A4="","",V31_CustomUnits!B4)</x:f>
        <x:v>Durable Assault</x:v>
      </x:c>
      <x:c r="D4" t="n">
        <x:f>IF(V31_CustomUnits!A4="","",V31_CustomUnits!AL4)</x:f>
        <x:v>0.950406167586207</x:v>
      </x:c>
      <x:c r="E4" t="str">
        <x:f>IF(V31_CustomUnits!A4="","",TEXT(V31_CustomUnits!AM4,"0.00")&amp;"–"&amp;TEXT(V31_CustomUnits!AN4,"0.00"))</x:f>
        <x:v>0.93–1.07</x:v>
      </x:c>
      <x:c r="F4" t="str">
        <x:f>IF(V31_CustomUnits!A4="","",V31_CustomUnits!AO4)</x:f>
        <x:v>WITHIN ARCHETYPE BAND</x:v>
      </x:c>
      <x:c r="G4" t="n">
        <x:f>IF(V31_CustomUnits!A4="","",V31_CustomUnits!AF4)</x:f>
        <x:v>1.1600504926108375</x:v>
      </x:c>
      <x:c r="H4" t="n">
        <x:f>IF(V31_CustomUnits!A4="","",V31_CustomUnits!AG4)</x:f>
        <x:v>1.056</x:v>
      </x:c>
      <x:c r="I4" t="n">
        <x:f>IF(V31_CustomUnits!A4="","",V31_CustomUnits!AK4)</x:f>
        <x:v>1.263157894736842</x:v>
      </x:c>
      <x:c r="J4" t="str">
        <x:f>IF(V31_CustomUnits!A4="","",IF(V31_CustomUnits!AO4="INPUT NEEDED","Awaiting unit inputs.",IF(V31_CustomUnits!AP4="SKILL","Skill/ability is the first candidate to test.",IF(V31_CustomUnits!AP4="DPS","DPS is the first candidate to test.",IF(V31_CustomUnits!AP4="EHP","Durability is the first candidate to test.","Cost/production or scenario effects need matched simulation.")))))</x:f>
        <x:v>Skill/ability is the first candidate to test.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IF(V31_CustomUnits!A5="","",V31_CustomUnits!B5)</x:f>
      </x:c>
      <x:c r="D5" t="str">
        <x:f>IF(V31_CustomUnits!A5="","",V31_CustomUnits!AL5)</x:f>
      </x:c>
      <x:c r="E5" t="str">
        <x:f>IF(V31_CustomUnits!A5="","",TEXT(V31_CustomUnits!AM5,"0.00")&amp;"–"&amp;TEXT(V31_CustomUnits!AN5,"0.00"))</x:f>
      </x:c>
      <x:c r="F5" t="str">
        <x:f>IF(V31_CustomUnits!A5="","",V31_CustomUnits!AO5)</x:f>
      </x:c>
      <x:c r="G5" t="str">
        <x:f>IF(V31_CustomUnits!A5="","",V31_CustomUnits!AF5)</x:f>
      </x:c>
      <x:c r="H5" t="str">
        <x:f>IF(V31_CustomUnits!A5="","",V31_CustomUnits!AG5)</x:f>
      </x:c>
      <x:c r="I5" t="str">
        <x:f>IF(V31_CustomUnits!A5="","",V31_CustomUnits!AK5)</x:f>
      </x:c>
      <x:c r="J5" t="str">
        <x:f>IF(V31_CustomUnits!A5="","",IF(V31_CustomUnits!AO5="INPUT NEEDED","Awaiting unit inputs.",IF(V31_CustomUnits!AP5="SKILL","Skill/ability is the first candidate to test.",IF(V31_CustomUnits!AP5="DPS","DPS is the first candidate to test.",IF(V31_CustomUnits!AP5="EHP","Durability is the first candidate to test.","Cost/production or scenario effects need matched simulation.")))))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IF(V31_CustomUnits!A6="","",V31_CustomUnits!B6)</x:f>
      </x:c>
      <x:c r="D6" t="str">
        <x:f>IF(V31_CustomUnits!A6="","",V31_CustomUnits!AL6)</x:f>
      </x:c>
      <x:c r="E6" t="str">
        <x:f>IF(V31_CustomUnits!A6="","",TEXT(V31_CustomUnits!AM6,"0.00")&amp;"–"&amp;TEXT(V31_CustomUnits!AN6,"0.00"))</x:f>
      </x:c>
      <x:c r="F6" t="str">
        <x:f>IF(V31_CustomUnits!A6="","",V31_CustomUnits!AO6)</x:f>
      </x:c>
      <x:c r="G6" t="str">
        <x:f>IF(V31_CustomUnits!A6="","",V31_CustomUnits!AF6)</x:f>
      </x:c>
      <x:c r="H6" t="str">
        <x:f>IF(V31_CustomUnits!A6="","",V31_CustomUnits!AG6)</x:f>
      </x:c>
      <x:c r="I6" t="str">
        <x:f>IF(V31_CustomUnits!A6="","",V31_CustomUnits!AK6)</x:f>
      </x:c>
      <x:c r="J6" t="str">
        <x:f>IF(V31_CustomUnits!A6="","",IF(V31_CustomUnits!AO6="INPUT NEEDED","Awaiting unit inputs.",IF(V31_CustomUnits!AP6="SKILL","Skill/ability is the first candidate to test.",IF(V31_CustomUnits!AP6="DPS","DPS is the first candidate to test.",IF(V31_CustomUnits!AP6="EHP","Durability is the first candidate to test.","Cost/production or scenario effects need matched simulation.")))))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IF(V31_CustomUnits!A7="","",V31_CustomUnits!B7)</x:f>
      </x:c>
      <x:c r="D7" t="str">
        <x:f>IF(V31_CustomUnits!A7="","",V31_CustomUnits!AL7)</x:f>
      </x:c>
      <x:c r="E7" t="str">
        <x:f>IF(V31_CustomUnits!A7="","",TEXT(V31_CustomUnits!AM7,"0.00")&amp;"–"&amp;TEXT(V31_CustomUnits!AN7,"0.00"))</x:f>
      </x:c>
      <x:c r="F7" t="str">
        <x:f>IF(V31_CustomUnits!A7="","",V31_CustomUnits!AO7)</x:f>
      </x:c>
      <x:c r="G7" t="str">
        <x:f>IF(V31_CustomUnits!A7="","",V31_CustomUnits!AF7)</x:f>
      </x:c>
      <x:c r="H7" t="str">
        <x:f>IF(V31_CustomUnits!A7="","",V31_CustomUnits!AG7)</x:f>
      </x:c>
      <x:c r="I7" t="str">
        <x:f>IF(V31_CustomUnits!A7="","",V31_CustomUnits!AK7)</x:f>
      </x:c>
      <x:c r="J7" t="str">
        <x:f>IF(V31_CustomUnits!A7="","",IF(V31_CustomUnits!AO7="INPUT NEEDED","Awaiting unit inputs.",IF(V31_CustomUnits!AP7="SKILL","Skill/ability is the first candidate to test.",IF(V31_CustomUnits!AP7="DPS","DPS is the first candidate to test.",IF(V31_CustomUnits!AP7="EHP","Durability is the first candidate to test.","Cost/production or scenario effects need matched simulation.")))))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IF(V31_CustomUnits!A8="","",V31_CustomUnits!B8)</x:f>
      </x:c>
      <x:c r="D8" t="str">
        <x:f>IF(V31_CustomUnits!A8="","",V31_CustomUnits!AL8)</x:f>
      </x:c>
      <x:c r="E8" t="str">
        <x:f>IF(V31_CustomUnits!A8="","",TEXT(V31_CustomUnits!AM8,"0.00")&amp;"–"&amp;TEXT(V31_CustomUnits!AN8,"0.00"))</x:f>
      </x:c>
      <x:c r="F8" t="str">
        <x:f>IF(V31_CustomUnits!A8="","",V31_CustomUnits!AO8)</x:f>
      </x:c>
      <x:c r="G8" t="str">
        <x:f>IF(V31_CustomUnits!A8="","",V31_CustomUnits!AF8)</x:f>
      </x:c>
      <x:c r="H8" t="str">
        <x:f>IF(V31_CustomUnits!A8="","",V31_CustomUnits!AG8)</x:f>
      </x:c>
      <x:c r="I8" t="str">
        <x:f>IF(V31_CustomUnits!A8="","",V31_CustomUnits!AK8)</x:f>
      </x:c>
      <x:c r="J8" t="str">
        <x:f>IF(V31_CustomUnits!A8="","",IF(V31_CustomUnits!AO8="INPUT NEEDED","Awaiting unit inputs.",IF(V31_CustomUnits!AP8="SKILL","Skill/ability is the first candidate to test.",IF(V31_CustomUnits!AP8="DPS","DPS is the first candidate to test.",IF(V31_CustomUnits!AP8="EHP","Durability is the first candidate to test.","Cost/production or scenario effects need matched simulation.")))))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IF(V31_CustomUnits!A9="","",V31_CustomUnits!B9)</x:f>
      </x:c>
      <x:c r="D9" t="str">
        <x:f>IF(V31_CustomUnits!A9="","",V31_CustomUnits!AL9)</x:f>
      </x:c>
      <x:c r="E9" t="str">
        <x:f>IF(V31_CustomUnits!A9="","",TEXT(V31_CustomUnits!AM9,"0.00")&amp;"–"&amp;TEXT(V31_CustomUnits!AN9,"0.00"))</x:f>
      </x:c>
      <x:c r="F9" t="str">
        <x:f>IF(V31_CustomUnits!A9="","",V31_CustomUnits!AO9)</x:f>
      </x:c>
      <x:c r="G9" t="str">
        <x:f>IF(V31_CustomUnits!A9="","",V31_CustomUnits!AF9)</x:f>
      </x:c>
      <x:c r="H9" t="str">
        <x:f>IF(V31_CustomUnits!A9="","",V31_CustomUnits!AG9)</x:f>
      </x:c>
      <x:c r="I9" t="str">
        <x:f>IF(V31_CustomUnits!A9="","",V31_CustomUnits!AK9)</x:f>
      </x:c>
      <x:c r="J9" t="str">
        <x:f>IF(V31_CustomUnits!A9="","",IF(V31_CustomUnits!AO9="INPUT NEEDED","Awaiting unit inputs.",IF(V31_CustomUnits!AP9="SKILL","Skill/ability is the first candidate to test.",IF(V31_CustomUnits!AP9="DPS","DPS is the first candidate to test.",IF(V31_CustomUnits!AP9="EHP","Durability is the first candidate to test.","Cost/production or scenario effects need matched simulation.")))))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IF(V31_CustomUnits!A10="","",V31_CustomUnits!B10)</x:f>
      </x:c>
      <x:c r="D10" t="str">
        <x:f>IF(V31_CustomUnits!A10="","",V31_CustomUnits!AL10)</x:f>
      </x:c>
      <x:c r="E10" t="str">
        <x:f>IF(V31_CustomUnits!A10="","",TEXT(V31_CustomUnits!AM10,"0.00")&amp;"–"&amp;TEXT(V31_CustomUnits!AN10,"0.00"))</x:f>
      </x:c>
      <x:c r="F10" t="str">
        <x:f>IF(V31_CustomUnits!A10="","",V31_CustomUnits!AO10)</x:f>
      </x:c>
      <x:c r="G10" t="str">
        <x:f>IF(V31_CustomUnits!A10="","",V31_CustomUnits!AF10)</x:f>
      </x:c>
      <x:c r="H10" t="str">
        <x:f>IF(V31_CustomUnits!A10="","",V31_CustomUnits!AG10)</x:f>
      </x:c>
      <x:c r="I10" t="str">
        <x:f>IF(V31_CustomUnits!A10="","",V31_CustomUnits!AK10)</x:f>
      </x:c>
      <x:c r="J10" t="str">
        <x:f>IF(V31_CustomUnits!A10="","",IF(V31_CustomUnits!AO10="INPUT NEEDED","Awaiting unit inputs.",IF(V31_CustomUnits!AP10="SKILL","Skill/ability is the first candidate to test.",IF(V31_CustomUnits!AP10="DPS","DPS is the first candidate to test.",IF(V31_CustomUnits!AP10="EHP","Durability is the first candidate to test.","Cost/production or scenario effects need matched simulation.")))))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IF(V31_CustomUnits!A11="","",V31_CustomUnits!B11)</x:f>
      </x:c>
      <x:c r="D11" t="str">
        <x:f>IF(V31_CustomUnits!A11="","",V31_CustomUnits!AL11)</x:f>
      </x:c>
      <x:c r="E11" t="str">
        <x:f>IF(V31_CustomUnits!A11="","",TEXT(V31_CustomUnits!AM11,"0.00")&amp;"–"&amp;TEXT(V31_CustomUnits!AN11,"0.00"))</x:f>
      </x:c>
      <x:c r="F11" t="str">
        <x:f>IF(V31_CustomUnits!A11="","",V31_CustomUnits!AO11)</x:f>
      </x:c>
      <x:c r="G11" t="str">
        <x:f>IF(V31_CustomUnits!A11="","",V31_CustomUnits!AF11)</x:f>
      </x:c>
      <x:c r="H11" t="str">
        <x:f>IF(V31_CustomUnits!A11="","",V31_CustomUnits!AG11)</x:f>
      </x:c>
      <x:c r="I11" t="str">
        <x:f>IF(V31_CustomUnits!A11="","",V31_CustomUnits!AK11)</x:f>
      </x:c>
      <x:c r="J11" t="str">
        <x:f>IF(V31_CustomUnits!A11="","",IF(V31_CustomUnits!AO11="INPUT NEEDED","Awaiting unit inputs.",IF(V31_CustomUnits!AP11="SKILL","Skill/ability is the first candidate to test.",IF(V31_CustomUnits!AP11="DPS","DPS is the first candidate to test.",IF(V31_CustomUnits!AP11="EHP","Durability is the first candidate to test.","Cost/production or scenario effects need matched simulation.")))))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IF(V31_CustomUnits!A12="","",V31_CustomUnits!B12)</x:f>
      </x:c>
      <x:c r="D12" t="str">
        <x:f>IF(V31_CustomUnits!A12="","",V31_CustomUnits!AL12)</x:f>
      </x:c>
      <x:c r="E12" t="str">
        <x:f>IF(V31_CustomUnits!A12="","",TEXT(V31_CustomUnits!AM12,"0.00")&amp;"–"&amp;TEXT(V31_CustomUnits!AN12,"0.00"))</x:f>
      </x:c>
      <x:c r="F12" t="str">
        <x:f>IF(V31_CustomUnits!A12="","",V31_CustomUnits!AO12)</x:f>
      </x:c>
      <x:c r="G12" t="str">
        <x:f>IF(V31_CustomUnits!A12="","",V31_CustomUnits!AF12)</x:f>
      </x:c>
      <x:c r="H12" t="str">
        <x:f>IF(V31_CustomUnits!A12="","",V31_CustomUnits!AG12)</x:f>
      </x:c>
      <x:c r="I12" t="str">
        <x:f>IF(V31_CustomUnits!A12="","",V31_CustomUnits!AK12)</x:f>
      </x:c>
      <x:c r="J12" t="str">
        <x:f>IF(V31_CustomUnits!A12="","",IF(V31_CustomUnits!AO12="INPUT NEEDED","Awaiting unit inputs.",IF(V31_CustomUnits!AP12="SKILL","Skill/ability is the first candidate to test.",IF(V31_CustomUnits!AP12="DPS","DPS is the first candidate to test.",IF(V31_CustomUnits!AP12="EHP","Durability is the first candidate to test.","Cost/production or scenario effects need matched simulation.")))))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IF(V31_CustomUnits!A13="","",V31_CustomUnits!B13)</x:f>
      </x:c>
      <x:c r="D13" t="str">
        <x:f>IF(V31_CustomUnits!A13="","",V31_CustomUnits!AL13)</x:f>
      </x:c>
      <x:c r="E13" t="str">
        <x:f>IF(V31_CustomUnits!A13="","",TEXT(V31_CustomUnits!AM13,"0.00")&amp;"–"&amp;TEXT(V31_CustomUnits!AN13,"0.00"))</x:f>
      </x:c>
      <x:c r="F13" t="str">
        <x:f>IF(V31_CustomUnits!A13="","",V31_CustomUnits!AO13)</x:f>
      </x:c>
      <x:c r="G13" t="str">
        <x:f>IF(V31_CustomUnits!A13="","",V31_CustomUnits!AF13)</x:f>
      </x:c>
      <x:c r="H13" t="str">
        <x:f>IF(V31_CustomUnits!A13="","",V31_CustomUnits!AG13)</x:f>
      </x:c>
      <x:c r="I13" t="str">
        <x:f>IF(V31_CustomUnits!A13="","",V31_CustomUnits!AK13)</x:f>
      </x:c>
      <x:c r="J13" t="str">
        <x:f>IF(V31_CustomUnits!A13="","",IF(V31_CustomUnits!AO13="INPUT NEEDED","Awaiting unit inputs.",IF(V31_CustomUnits!AP13="SKILL","Skill/ability is the first candidate to test.",IF(V31_CustomUnits!AP13="DPS","DPS is the first candidate to test.",IF(V31_CustomUnits!AP13="EHP","Durability is the first candidate to test.","Cost/production or scenario effects need matched simulation.")))))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IF(V31_CustomUnits!A14="","",V31_CustomUnits!B14)</x:f>
      </x:c>
      <x:c r="D14" t="str">
        <x:f>IF(V31_CustomUnits!A14="","",V31_CustomUnits!AL14)</x:f>
      </x:c>
      <x:c r="E14" t="str">
        <x:f>IF(V31_CustomUnits!A14="","",TEXT(V31_CustomUnits!AM14,"0.00")&amp;"–"&amp;TEXT(V31_CustomUnits!AN14,"0.00"))</x:f>
      </x:c>
      <x:c r="F14" t="str">
        <x:f>IF(V31_CustomUnits!A14="","",V31_CustomUnits!AO14)</x:f>
      </x:c>
      <x:c r="G14" t="str">
        <x:f>IF(V31_CustomUnits!A14="","",V31_CustomUnits!AF14)</x:f>
      </x:c>
      <x:c r="H14" t="str">
        <x:f>IF(V31_CustomUnits!A14="","",V31_CustomUnits!AG14)</x:f>
      </x:c>
      <x:c r="I14" t="str">
        <x:f>IF(V31_CustomUnits!A14="","",V31_CustomUnits!AK14)</x:f>
      </x:c>
      <x:c r="J14" t="str">
        <x:f>IF(V31_CustomUnits!A14="","",IF(V31_CustomUnits!AO14="INPUT NEEDED","Awaiting unit inputs.",IF(V31_CustomUnits!AP14="SKILL","Skill/ability is the first candidate to test.",IF(V31_CustomUnits!AP14="DPS","DPS is the first candidate to test.",IF(V31_CustomUnits!AP14="EHP","Durability is the first candidate to test.","Cost/production or scenario effects need matched simulation.")))))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IF(V31_CustomUnits!A15="","",V31_CustomUnits!B15)</x:f>
      </x:c>
      <x:c r="D15" t="str">
        <x:f>IF(V31_CustomUnits!A15="","",V31_CustomUnits!AL15)</x:f>
      </x:c>
      <x:c r="E15" t="str">
        <x:f>IF(V31_CustomUnits!A15="","",TEXT(V31_CustomUnits!AM15,"0.00")&amp;"–"&amp;TEXT(V31_CustomUnits!AN15,"0.00"))</x:f>
      </x:c>
      <x:c r="F15" t="str">
        <x:f>IF(V31_CustomUnits!A15="","",V31_CustomUnits!AO15)</x:f>
      </x:c>
      <x:c r="G15" t="str">
        <x:f>IF(V31_CustomUnits!A15="","",V31_CustomUnits!AF15)</x:f>
      </x:c>
      <x:c r="H15" t="str">
        <x:f>IF(V31_CustomUnits!A15="","",V31_CustomUnits!AG15)</x:f>
      </x:c>
      <x:c r="I15" t="str">
        <x:f>IF(V31_CustomUnits!A15="","",V31_CustomUnits!AK15)</x:f>
      </x:c>
      <x:c r="J15" t="str">
        <x:f>IF(V31_CustomUnits!A15="","",IF(V31_CustomUnits!AO15="INPUT NEEDED","Awaiting unit inputs.",IF(V31_CustomUnits!AP15="SKILL","Skill/ability is the first candidate to test.",IF(V31_CustomUnits!AP15="DPS","DPS is the first candidate to test.",IF(V31_CustomUnits!AP15="EHP","Durability is the first candidate to test.","Cost/production or scenario effects need matched simulation.")))))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IF(V31_CustomUnits!A16="","",V31_CustomUnits!B16)</x:f>
      </x:c>
      <x:c r="D16" t="str">
        <x:f>IF(V31_CustomUnits!A16="","",V31_CustomUnits!AL16)</x:f>
      </x:c>
      <x:c r="E16" t="str">
        <x:f>IF(V31_CustomUnits!A16="","",TEXT(V31_CustomUnits!AM16,"0.00")&amp;"–"&amp;TEXT(V31_CustomUnits!AN16,"0.00"))</x:f>
      </x:c>
      <x:c r="F16" t="str">
        <x:f>IF(V31_CustomUnits!A16="","",V31_CustomUnits!AO16)</x:f>
      </x:c>
      <x:c r="G16" t="str">
        <x:f>IF(V31_CustomUnits!A16="","",V31_CustomUnits!AF16)</x:f>
      </x:c>
      <x:c r="H16" t="str">
        <x:f>IF(V31_CustomUnits!A16="","",V31_CustomUnits!AG16)</x:f>
      </x:c>
      <x:c r="I16" t="str">
        <x:f>IF(V31_CustomUnits!A16="","",V31_CustomUnits!AK16)</x:f>
      </x:c>
      <x:c r="J16" t="str">
        <x:f>IF(V31_CustomUnits!A16="","",IF(V31_CustomUnits!AO16="INPUT NEEDED","Awaiting unit inputs.",IF(V31_CustomUnits!AP16="SKILL","Skill/ability is the first candidate to test.",IF(V31_CustomUnits!AP16="DPS","DPS is the first candidate to test.",IF(V31_CustomUnits!AP16="EHP","Durability is the first candidate to test.","Cost/production or scenario effects need matched simulation.")))))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IF(V31_CustomUnits!A17="","",V31_CustomUnits!B17)</x:f>
      </x:c>
      <x:c r="D17" t="str">
        <x:f>IF(V31_CustomUnits!A17="","",V31_CustomUnits!AL17)</x:f>
      </x:c>
      <x:c r="E17" t="str">
        <x:f>IF(V31_CustomUnits!A17="","",TEXT(V31_CustomUnits!AM17,"0.00")&amp;"–"&amp;TEXT(V31_CustomUnits!AN17,"0.00"))</x:f>
      </x:c>
      <x:c r="F17" t="str">
        <x:f>IF(V31_CustomUnits!A17="","",V31_CustomUnits!AO17)</x:f>
      </x:c>
      <x:c r="G17" t="str">
        <x:f>IF(V31_CustomUnits!A17="","",V31_CustomUnits!AF17)</x:f>
      </x:c>
      <x:c r="H17" t="str">
        <x:f>IF(V31_CustomUnits!A17="","",V31_CustomUnits!AG17)</x:f>
      </x:c>
      <x:c r="I17" t="str">
        <x:f>IF(V31_CustomUnits!A17="","",V31_CustomUnits!AK17)</x:f>
      </x:c>
      <x:c r="J17" t="str">
        <x:f>IF(V31_CustomUnits!A17="","",IF(V31_CustomUnits!AO17="INPUT NEEDED","Awaiting unit inputs.",IF(V31_CustomUnits!AP17="SKILL","Skill/ability is the first candidate to test.",IF(V31_CustomUnits!AP17="DPS","DPS is the first candidate to test.",IF(V31_CustomUnits!AP17="EHP","Durability is the first candidate to test.","Cost/production or scenario effects need matched simulation.")))))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IF(V31_CustomUnits!A18="","",V31_CustomUnits!B18)</x:f>
      </x:c>
      <x:c r="D18" t="str">
        <x:f>IF(V31_CustomUnits!A18="","",V31_CustomUnits!AL18)</x:f>
      </x:c>
      <x:c r="E18" t="str">
        <x:f>IF(V31_CustomUnits!A18="","",TEXT(V31_CustomUnits!AM18,"0.00")&amp;"–"&amp;TEXT(V31_CustomUnits!AN18,"0.00"))</x:f>
      </x:c>
      <x:c r="F18" t="str">
        <x:f>IF(V31_CustomUnits!A18="","",V31_CustomUnits!AO18)</x:f>
      </x:c>
      <x:c r="G18" t="str">
        <x:f>IF(V31_CustomUnits!A18="","",V31_CustomUnits!AF18)</x:f>
      </x:c>
      <x:c r="H18" t="str">
        <x:f>IF(V31_CustomUnits!A18="","",V31_CustomUnits!AG18)</x:f>
      </x:c>
      <x:c r="I18" t="str">
        <x:f>IF(V31_CustomUnits!A18="","",V31_CustomUnits!AK18)</x:f>
      </x:c>
      <x:c r="J18" t="str">
        <x:f>IF(V31_CustomUnits!A18="","",IF(V31_CustomUnits!AO18="INPUT NEEDED","Awaiting unit inputs.",IF(V31_CustomUnits!AP18="SKILL","Skill/ability is the first candidate to test.",IF(V31_CustomUnits!AP18="DPS","DPS is the first candidate to test.",IF(V31_CustomUnits!AP18="EHP","Durability is the first candidate to test.","Cost/production or scenario effects need matched simulation.")))))</x:f>
      </x:c>
    </x:row>
  </x:sheetData>
  <x:mergeCells>
    <x:mergeCell ref="A1:J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>
      <x:c r="A1" s="87" t="str">
        <x:v>V3.1 Recommendations — PRE-SIMULATION CANDIDATES ONLY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</x:row>
    <x:row r="3">
      <x:c r="A3" s="92" t="str">
        <x:v>Unit</x:v>
      </x:c>
      <x:c r="B3" s="92" t="str">
        <x:v>Benchmark</x:v>
      </x:c>
      <x:c r="C3" s="92" t="str">
        <x:v>Status</x:v>
      </x:c>
      <x:c r="D3" s="92" t="str">
        <x:v>Candidate Lever</x:v>
      </x:c>
      <x:c r="E3" s="92" t="str">
        <x:v>Candidate Cost Delta %</x:v>
      </x:c>
      <x:c r="F3" s="92" t="str">
        <x:v>Candidate DPS Delta %</x:v>
      </x:c>
      <x:c r="G3" s="92" t="str">
        <x:v>Candidate EHP Delta %</x:v>
      </x:c>
      <x:c r="H3" s="92" t="str">
        <x:v>Scenario Requirement</x:v>
      </x:c>
      <x:c r="I3" s="92" t="str">
        <x:v>Recommended Next Test</x:v>
      </x:c>
      <x:c r="J3" s="92" t="str">
        <x:v>Do Not Auto-Apply</x:v>
      </x:c>
      <x:c r="K3" s="92" t="str">
        <x:v>Calibration</x:v>
      </x:c>
      <x:c r="L3" s="92" t="str">
        <x:v>Source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IF(V31_CustomUnits!A4="","",IF(V31_CustomUnits!AO4="WITHIN ARCHETYPE BAND","REFERENCE ONLY","PRE-SIMULATION CANDIDATE"))</x:f>
        <x:v>REFERENCE ONLY</x:v>
      </x:c>
      <x:c r="D4" t="str">
        <x:f>IF(V31_CustomUnits!A4="","",V31_CustomUnits!AP4)</x:f>
        <x:v>SKILL</x:v>
      </x:c>
      <x:c r="E4" s="100" t="n">
        <x:f>IF(V31_CustomUnits!AK4="","",V31_CustomUnits!AL4-1)</x:f>
        <x:v>-0.049593832413793004</x:v>
      </x:c>
      <x:c r="F4" s="100" t="n">
        <x:f>IF(V31_CustomUnits!A4="","",V31_CustomUnits!AS4-1)</x:f>
        <x:v>0.3482142857142858</x:v>
      </x:c>
      <x:c r="G4" s="100" t="n">
        <x:f>IF(V31_CustomUnits!A4="","",V31_CustomUnits!AR4-1)</x:f>
        <x:v>0.13793103448275867</x:v>
      </x:c>
      <x:c r="H4" t="str">
        <x:f>IF(V31_CustomUnits!A4="","","Run matched-role + matched-position scenarios before changing values.")</x:f>
        <x:v>Run matched-role + matched-position scenarios before changing values.</x:v>
      </x:c>
      <x:c r="I4" t="str">
        <x:f>IF(V31_CustomUnits!A4="","",IF(V31_CustomUnits!AP4="SKILL","Test skill uptime and counterplay first.",IF(V31_CustomUnits!AP4="DPS","Test 1v1, mass-fire and target-type DPS first.",IF(V31_CustomUnits!AP4="EHP","Test time-to-kill under multiple threat profiles.","Test cost vs production-time alternatives."))))</x:f>
        <x:v>Test skill uptime and counterplay first.</x:v>
      </x:c>
      <x:c r="J4" t="str">
        <x:f>"YES — never auto-apply before simulation/replay validation."</x:f>
        <x:v>YES — never auto-apply before simulation/replay validation.</x:v>
      </x:c>
      <x:c r="K4" t="str">
        <x:f>IF(V31_CustomUnits!A4="","",V31_CustomUnits!AQ4)</x:f>
        <x:v>UNVALIDATED — SIMULATION / REPLAY REQUIRED</x:v>
      </x:c>
      <x:c r="L4" t="str">
        <x:f>IF(V31_CustomUnits!A4="","",V31_CustomUnits!AA4)</x:f>
        <x:v>Example / replace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IF(V31_CustomUnits!A5="","",IF(V31_CustomUnits!AO5="WITHIN ARCHETYPE BAND","REFERENCE ONLY","PRE-SIMULATION CANDIDATE"))</x:f>
      </x:c>
      <x:c r="D5" t="str">
        <x:f>IF(V31_CustomUnits!A5="","",V31_CustomUnits!AP5)</x:f>
      </x:c>
      <x:c r="E5" s="100" t="str">
        <x:f>IF(V31_CustomUnits!AK5="","",V31_CustomUnits!AL5-1)</x:f>
      </x:c>
      <x:c r="F5" s="100" t="str">
        <x:f>IF(V31_CustomUnits!A5="","",V31_CustomUnits!AS5-1)</x:f>
      </x:c>
      <x:c r="G5" s="100" t="str">
        <x:f>IF(V31_CustomUnits!A5="","",V31_CustomUnits!AR5-1)</x:f>
      </x:c>
      <x:c r="H5" t="str">
        <x:f>IF(V31_CustomUnits!A5="","","Run matched-role + matched-position scenarios before changing values.")</x:f>
      </x:c>
      <x:c r="I5" t="str">
        <x:f>IF(V31_CustomUnits!A5="","",IF(V31_CustomUnits!AP5="SKILL","Test skill uptime and counterplay first.",IF(V31_CustomUnits!AP5="DPS","Test 1v1, mass-fire and target-type DPS first.",IF(V31_CustomUnits!AP5="EHP","Test time-to-kill under multiple threat profiles.","Test cost vs production-time alternatives."))))</x:f>
      </x:c>
      <x:c r="J5" t="str">
        <x:f>"YES — never auto-apply before simulation/replay validation."</x:f>
        <x:v>YES — never auto-apply before simulation/replay validation.</x:v>
      </x:c>
      <x:c r="K5" t="str">
        <x:f>IF(V31_CustomUnits!A5="","",V31_CustomUnits!AQ5)</x:f>
      </x:c>
      <x:c r="L5" t="str">
        <x:f>IF(V31_CustomUnits!A5="","",V31_CustomUnits!AA5)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IF(V31_CustomUnits!A6="","",IF(V31_CustomUnits!AO6="WITHIN ARCHETYPE BAND","REFERENCE ONLY","PRE-SIMULATION CANDIDATE"))</x:f>
      </x:c>
      <x:c r="D6" t="str">
        <x:f>IF(V31_CustomUnits!A6="","",V31_CustomUnits!AP6)</x:f>
      </x:c>
      <x:c r="E6" s="100" t="str">
        <x:f>IF(V31_CustomUnits!AK6="","",V31_CustomUnits!AL6-1)</x:f>
      </x:c>
      <x:c r="F6" s="100" t="str">
        <x:f>IF(V31_CustomUnits!A6="","",V31_CustomUnits!AS6-1)</x:f>
      </x:c>
      <x:c r="G6" s="100" t="str">
        <x:f>IF(V31_CustomUnits!A6="","",V31_CustomUnits!AR6-1)</x:f>
      </x:c>
      <x:c r="H6" t="str">
        <x:f>IF(V31_CustomUnits!A6="","","Run matched-role + matched-position scenarios before changing values.")</x:f>
      </x:c>
      <x:c r="I6" t="str">
        <x:f>IF(V31_CustomUnits!A6="","",IF(V31_CustomUnits!AP6="SKILL","Test skill uptime and counterplay first.",IF(V31_CustomUnits!AP6="DPS","Test 1v1, mass-fire and target-type DPS first.",IF(V31_CustomUnits!AP6="EHP","Test time-to-kill under multiple threat profiles.","Test cost vs production-time alternatives."))))</x:f>
      </x:c>
      <x:c r="J6" t="str">
        <x:f>"YES — never auto-apply before simulation/replay validation."</x:f>
        <x:v>YES — never auto-apply before simulation/replay validation.</x:v>
      </x:c>
      <x:c r="K6" t="str">
        <x:f>IF(V31_CustomUnits!A6="","",V31_CustomUnits!AQ6)</x:f>
      </x:c>
      <x:c r="L6" t="str">
        <x:f>IF(V31_CustomUnits!A6="","",V31_CustomUnits!AA6)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IF(V31_CustomUnits!A7="","",IF(V31_CustomUnits!AO7="WITHIN ARCHETYPE BAND","REFERENCE ONLY","PRE-SIMULATION CANDIDATE"))</x:f>
      </x:c>
      <x:c r="D7" t="str">
        <x:f>IF(V31_CustomUnits!A7="","",V31_CustomUnits!AP7)</x:f>
      </x:c>
      <x:c r="E7" s="100" t="str">
        <x:f>IF(V31_CustomUnits!AK7="","",V31_CustomUnits!AL7-1)</x:f>
      </x:c>
      <x:c r="F7" s="100" t="str">
        <x:f>IF(V31_CustomUnits!A7="","",V31_CustomUnits!AS7-1)</x:f>
      </x:c>
      <x:c r="G7" s="100" t="str">
        <x:f>IF(V31_CustomUnits!A7="","",V31_CustomUnits!AR7-1)</x:f>
      </x:c>
      <x:c r="H7" t="str">
        <x:f>IF(V31_CustomUnits!A7="","","Run matched-role + matched-position scenarios before changing values.")</x:f>
      </x:c>
      <x:c r="I7" t="str">
        <x:f>IF(V31_CustomUnits!A7="","",IF(V31_CustomUnits!AP7="SKILL","Test skill uptime and counterplay first.",IF(V31_CustomUnits!AP7="DPS","Test 1v1, mass-fire and target-type DPS first.",IF(V31_CustomUnits!AP7="EHP","Test time-to-kill under multiple threat profiles.","Test cost vs production-time alternatives."))))</x:f>
      </x:c>
      <x:c r="J7" t="str">
        <x:f>"YES — never auto-apply before simulation/replay validation."</x:f>
        <x:v>YES — never auto-apply before simulation/replay validation.</x:v>
      </x:c>
      <x:c r="K7" t="str">
        <x:f>IF(V31_CustomUnits!A7="","",V31_CustomUnits!AQ7)</x:f>
      </x:c>
      <x:c r="L7" t="str">
        <x:f>IF(V31_CustomUnits!A7="","",V31_CustomUnits!AA7)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IF(V31_CustomUnits!A8="","",IF(V31_CustomUnits!AO8="WITHIN ARCHETYPE BAND","REFERENCE ONLY","PRE-SIMULATION CANDIDATE"))</x:f>
      </x:c>
      <x:c r="D8" t="str">
        <x:f>IF(V31_CustomUnits!A8="","",V31_CustomUnits!AP8)</x:f>
      </x:c>
      <x:c r="E8" s="100" t="str">
        <x:f>IF(V31_CustomUnits!AK8="","",V31_CustomUnits!AL8-1)</x:f>
      </x:c>
      <x:c r="F8" s="100" t="str">
        <x:f>IF(V31_CustomUnits!A8="","",V31_CustomUnits!AS8-1)</x:f>
      </x:c>
      <x:c r="G8" s="100" t="str">
        <x:f>IF(V31_CustomUnits!A8="","",V31_CustomUnits!AR8-1)</x:f>
      </x:c>
      <x:c r="H8" t="str">
        <x:f>IF(V31_CustomUnits!A8="","","Run matched-role + matched-position scenarios before changing values.")</x:f>
      </x:c>
      <x:c r="I8" t="str">
        <x:f>IF(V31_CustomUnits!A8="","",IF(V31_CustomUnits!AP8="SKILL","Test skill uptime and counterplay first.",IF(V31_CustomUnits!AP8="DPS","Test 1v1, mass-fire and target-type DPS first.",IF(V31_CustomUnits!AP8="EHP","Test time-to-kill under multiple threat profiles.","Test cost vs production-time alternatives."))))</x:f>
      </x:c>
      <x:c r="J8" t="str">
        <x:f>"YES — never auto-apply before simulation/replay validation."</x:f>
        <x:v>YES — never auto-apply before simulation/replay validation.</x:v>
      </x:c>
      <x:c r="K8" t="str">
        <x:f>IF(V31_CustomUnits!A8="","",V31_CustomUnits!AQ8)</x:f>
      </x:c>
      <x:c r="L8" t="str">
        <x:f>IF(V31_CustomUnits!A8="","",V31_CustomUnits!AA8)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IF(V31_CustomUnits!A9="","",IF(V31_CustomUnits!AO9="WITHIN ARCHETYPE BAND","REFERENCE ONLY","PRE-SIMULATION CANDIDATE"))</x:f>
      </x:c>
      <x:c r="D9" t="str">
        <x:f>IF(V31_CustomUnits!A9="","",V31_CustomUnits!AP9)</x:f>
      </x:c>
      <x:c r="E9" s="100" t="str">
        <x:f>IF(V31_CustomUnits!AK9="","",V31_CustomUnits!AL9-1)</x:f>
      </x:c>
      <x:c r="F9" s="100" t="str">
        <x:f>IF(V31_CustomUnits!A9="","",V31_CustomUnits!AS9-1)</x:f>
      </x:c>
      <x:c r="G9" s="100" t="str">
        <x:f>IF(V31_CustomUnits!A9="","",V31_CustomUnits!AR9-1)</x:f>
      </x:c>
      <x:c r="H9" t="str">
        <x:f>IF(V31_CustomUnits!A9="","","Run matched-role + matched-position scenarios before changing values.")</x:f>
      </x:c>
      <x:c r="I9" t="str">
        <x:f>IF(V31_CustomUnits!A9="","",IF(V31_CustomUnits!AP9="SKILL","Test skill uptime and counterplay first.",IF(V31_CustomUnits!AP9="DPS","Test 1v1, mass-fire and target-type DPS first.",IF(V31_CustomUnits!AP9="EHP","Test time-to-kill under multiple threat profiles.","Test cost vs production-time alternatives."))))</x:f>
      </x:c>
      <x:c r="J9" t="str">
        <x:f>"YES — never auto-apply before simulation/replay validation."</x:f>
        <x:v>YES — never auto-apply before simulation/replay validation.</x:v>
      </x:c>
      <x:c r="K9" t="str">
        <x:f>IF(V31_CustomUnits!A9="","",V31_CustomUnits!AQ9)</x:f>
      </x:c>
      <x:c r="L9" t="str">
        <x:f>IF(V31_CustomUnits!A9="","",V31_CustomUnits!AA9)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IF(V31_CustomUnits!A10="","",IF(V31_CustomUnits!AO10="WITHIN ARCHETYPE BAND","REFERENCE ONLY","PRE-SIMULATION CANDIDATE"))</x:f>
      </x:c>
      <x:c r="D10" t="str">
        <x:f>IF(V31_CustomUnits!A10="","",V31_CustomUnits!AP10)</x:f>
      </x:c>
      <x:c r="E10" s="100" t="str">
        <x:f>IF(V31_CustomUnits!AK10="","",V31_CustomUnits!AL10-1)</x:f>
      </x:c>
      <x:c r="F10" s="100" t="str">
        <x:f>IF(V31_CustomUnits!A10="","",V31_CustomUnits!AS10-1)</x:f>
      </x:c>
      <x:c r="G10" s="100" t="str">
        <x:f>IF(V31_CustomUnits!A10="","",V31_CustomUnits!AR10-1)</x:f>
      </x:c>
      <x:c r="H10" t="str">
        <x:f>IF(V31_CustomUnits!A10="","","Run matched-role + matched-position scenarios before changing values.")</x:f>
      </x:c>
      <x:c r="I10" t="str">
        <x:f>IF(V31_CustomUnits!A10="","",IF(V31_CustomUnits!AP10="SKILL","Test skill uptime and counterplay first.",IF(V31_CustomUnits!AP10="DPS","Test 1v1, mass-fire and target-type DPS first.",IF(V31_CustomUnits!AP10="EHP","Test time-to-kill under multiple threat profiles.","Test cost vs production-time alternatives."))))</x:f>
      </x:c>
      <x:c r="J10" t="str">
        <x:f>"YES — never auto-apply before simulation/replay validation."</x:f>
        <x:v>YES — never auto-apply before simulation/replay validation.</x:v>
      </x:c>
      <x:c r="K10" t="str">
        <x:f>IF(V31_CustomUnits!A10="","",V31_CustomUnits!AQ10)</x:f>
      </x:c>
      <x:c r="L10" t="str">
        <x:f>IF(V31_CustomUnits!A10="","",V31_CustomUnits!AA10)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IF(V31_CustomUnits!A11="","",IF(V31_CustomUnits!AO11="WITHIN ARCHETYPE BAND","REFERENCE ONLY","PRE-SIMULATION CANDIDATE"))</x:f>
      </x:c>
      <x:c r="D11" t="str">
        <x:f>IF(V31_CustomUnits!A11="","",V31_CustomUnits!AP11)</x:f>
      </x:c>
      <x:c r="E11" s="100" t="str">
        <x:f>IF(V31_CustomUnits!AK11="","",V31_CustomUnits!AL11-1)</x:f>
      </x:c>
      <x:c r="F11" s="100" t="str">
        <x:f>IF(V31_CustomUnits!A11="","",V31_CustomUnits!AS11-1)</x:f>
      </x:c>
      <x:c r="G11" s="100" t="str">
        <x:f>IF(V31_CustomUnits!A11="","",V31_CustomUnits!AR11-1)</x:f>
      </x:c>
      <x:c r="H11" t="str">
        <x:f>IF(V31_CustomUnits!A11="","","Run matched-role + matched-position scenarios before changing values.")</x:f>
      </x:c>
      <x:c r="I11" t="str">
        <x:f>IF(V31_CustomUnits!A11="","",IF(V31_CustomUnits!AP11="SKILL","Test skill uptime and counterplay first.",IF(V31_CustomUnits!AP11="DPS","Test 1v1, mass-fire and target-type DPS first.",IF(V31_CustomUnits!AP11="EHP","Test time-to-kill under multiple threat profiles.","Test cost vs production-time alternatives."))))</x:f>
      </x:c>
      <x:c r="J11" t="str">
        <x:f>"YES — never auto-apply before simulation/replay validation."</x:f>
        <x:v>YES — never auto-apply before simulation/replay validation.</x:v>
      </x:c>
      <x:c r="K11" t="str">
        <x:f>IF(V31_CustomUnits!A11="","",V31_CustomUnits!AQ11)</x:f>
      </x:c>
      <x:c r="L11" t="str">
        <x:f>IF(V31_CustomUnits!A11="","",V31_CustomUnits!AA11)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IF(V31_CustomUnits!A12="","",IF(V31_CustomUnits!AO12="WITHIN ARCHETYPE BAND","REFERENCE ONLY","PRE-SIMULATION CANDIDATE"))</x:f>
      </x:c>
      <x:c r="D12" t="str">
        <x:f>IF(V31_CustomUnits!A12="","",V31_CustomUnits!AP12)</x:f>
      </x:c>
      <x:c r="E12" s="100" t="str">
        <x:f>IF(V31_CustomUnits!AK12="","",V31_CustomUnits!AL12-1)</x:f>
      </x:c>
      <x:c r="F12" s="100" t="str">
        <x:f>IF(V31_CustomUnits!A12="","",V31_CustomUnits!AS12-1)</x:f>
      </x:c>
      <x:c r="G12" s="100" t="str">
        <x:f>IF(V31_CustomUnits!A12="","",V31_CustomUnits!AR12-1)</x:f>
      </x:c>
      <x:c r="H12" t="str">
        <x:f>IF(V31_CustomUnits!A12="","","Run matched-role + matched-position scenarios before changing values.")</x:f>
      </x:c>
      <x:c r="I12" t="str">
        <x:f>IF(V31_CustomUnits!A12="","",IF(V31_CustomUnits!AP12="SKILL","Test skill uptime and counterplay first.",IF(V31_CustomUnits!AP12="DPS","Test 1v1, mass-fire and target-type DPS first.",IF(V31_CustomUnits!AP12="EHP","Test time-to-kill under multiple threat profiles.","Test cost vs production-time alternatives."))))</x:f>
      </x:c>
      <x:c r="J12" t="str">
        <x:f>"YES — never auto-apply before simulation/replay validation."</x:f>
        <x:v>YES — never auto-apply before simulation/replay validation.</x:v>
      </x:c>
      <x:c r="K12" t="str">
        <x:f>IF(V31_CustomUnits!A12="","",V31_CustomUnits!AQ12)</x:f>
      </x:c>
      <x:c r="L12" t="str">
        <x:f>IF(V31_CustomUnits!A12="","",V31_CustomUnits!AA12)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IF(V31_CustomUnits!A13="","",IF(V31_CustomUnits!AO13="WITHIN ARCHETYPE BAND","REFERENCE ONLY","PRE-SIMULATION CANDIDATE"))</x:f>
      </x:c>
      <x:c r="D13" t="str">
        <x:f>IF(V31_CustomUnits!A13="","",V31_CustomUnits!AP13)</x:f>
      </x:c>
      <x:c r="E13" s="100" t="str">
        <x:f>IF(V31_CustomUnits!AK13="","",V31_CustomUnits!AL13-1)</x:f>
      </x:c>
      <x:c r="F13" s="100" t="str">
        <x:f>IF(V31_CustomUnits!A13="","",V31_CustomUnits!AS13-1)</x:f>
      </x:c>
      <x:c r="G13" s="100" t="str">
        <x:f>IF(V31_CustomUnits!A13="","",V31_CustomUnits!AR13-1)</x:f>
      </x:c>
      <x:c r="H13" t="str">
        <x:f>IF(V31_CustomUnits!A13="","","Run matched-role + matched-position scenarios before changing values.")</x:f>
      </x:c>
      <x:c r="I13" t="str">
        <x:f>IF(V31_CustomUnits!A13="","",IF(V31_CustomUnits!AP13="SKILL","Test skill uptime and counterplay first.",IF(V31_CustomUnits!AP13="DPS","Test 1v1, mass-fire and target-type DPS first.",IF(V31_CustomUnits!AP13="EHP","Test time-to-kill under multiple threat profiles.","Test cost vs production-time alternatives."))))</x:f>
      </x:c>
      <x:c r="J13" t="str">
        <x:f>"YES — never auto-apply before simulation/replay validation."</x:f>
        <x:v>YES — never auto-apply before simulation/replay validation.</x:v>
      </x:c>
      <x:c r="K13" t="str">
        <x:f>IF(V31_CustomUnits!A13="","",V31_CustomUnits!AQ13)</x:f>
      </x:c>
      <x:c r="L13" t="str">
        <x:f>IF(V31_CustomUnits!A13="","",V31_CustomUnits!AA13)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IF(V31_CustomUnits!A14="","",IF(V31_CustomUnits!AO14="WITHIN ARCHETYPE BAND","REFERENCE ONLY","PRE-SIMULATION CANDIDATE"))</x:f>
      </x:c>
      <x:c r="D14" t="str">
        <x:f>IF(V31_CustomUnits!A14="","",V31_CustomUnits!AP14)</x:f>
      </x:c>
      <x:c r="E14" s="100" t="str">
        <x:f>IF(V31_CustomUnits!AK14="","",V31_CustomUnits!AL14-1)</x:f>
      </x:c>
      <x:c r="F14" s="100" t="str">
        <x:f>IF(V31_CustomUnits!A14="","",V31_CustomUnits!AS14-1)</x:f>
      </x:c>
      <x:c r="G14" s="100" t="str">
        <x:f>IF(V31_CustomUnits!A14="","",V31_CustomUnits!AR14-1)</x:f>
      </x:c>
      <x:c r="H14" t="str">
        <x:f>IF(V31_CustomUnits!A14="","","Run matched-role + matched-position scenarios before changing values.")</x:f>
      </x:c>
      <x:c r="I14" t="str">
        <x:f>IF(V31_CustomUnits!A14="","",IF(V31_CustomUnits!AP14="SKILL","Test skill uptime and counterplay first.",IF(V31_CustomUnits!AP14="DPS","Test 1v1, mass-fire and target-type DPS first.",IF(V31_CustomUnits!AP14="EHP","Test time-to-kill under multiple threat profiles.","Test cost vs production-time alternatives."))))</x:f>
      </x:c>
      <x:c r="J14" t="str">
        <x:f>"YES — never auto-apply before simulation/replay validation."</x:f>
        <x:v>YES — never auto-apply before simulation/replay validation.</x:v>
      </x:c>
      <x:c r="K14" t="str">
        <x:f>IF(V31_CustomUnits!A14="","",V31_CustomUnits!AQ14)</x:f>
      </x:c>
      <x:c r="L14" t="str">
        <x:f>IF(V31_CustomUnits!A14="","",V31_CustomUnits!AA14)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IF(V31_CustomUnits!A15="","",IF(V31_CustomUnits!AO15="WITHIN ARCHETYPE BAND","REFERENCE ONLY","PRE-SIMULATION CANDIDATE"))</x:f>
      </x:c>
      <x:c r="D15" t="str">
        <x:f>IF(V31_CustomUnits!A15="","",V31_CustomUnits!AP15)</x:f>
      </x:c>
      <x:c r="E15" s="100" t="str">
        <x:f>IF(V31_CustomUnits!AK15="","",V31_CustomUnits!AL15-1)</x:f>
      </x:c>
      <x:c r="F15" s="100" t="str">
        <x:f>IF(V31_CustomUnits!A15="","",V31_CustomUnits!AS15-1)</x:f>
      </x:c>
      <x:c r="G15" s="100" t="str">
        <x:f>IF(V31_CustomUnits!A15="","",V31_CustomUnits!AR15-1)</x:f>
      </x:c>
      <x:c r="H15" t="str">
        <x:f>IF(V31_CustomUnits!A15="","","Run matched-role + matched-position scenarios before changing values.")</x:f>
      </x:c>
      <x:c r="I15" t="str">
        <x:f>IF(V31_CustomUnits!A15="","",IF(V31_CustomUnits!AP15="SKILL","Test skill uptime and counterplay first.",IF(V31_CustomUnits!AP15="DPS","Test 1v1, mass-fire and target-type DPS first.",IF(V31_CustomUnits!AP15="EHP","Test time-to-kill under multiple threat profiles.","Test cost vs production-time alternatives."))))</x:f>
      </x:c>
      <x:c r="J15" t="str">
        <x:f>"YES — never auto-apply before simulation/replay validation."</x:f>
        <x:v>YES — never auto-apply before simulation/replay validation.</x:v>
      </x:c>
      <x:c r="K15" t="str">
        <x:f>IF(V31_CustomUnits!A15="","",V31_CustomUnits!AQ15)</x:f>
      </x:c>
      <x:c r="L15" t="str">
        <x:f>IF(V31_CustomUnits!A15="","",V31_CustomUnits!AA15)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IF(V31_CustomUnits!A16="","",IF(V31_CustomUnits!AO16="WITHIN ARCHETYPE BAND","REFERENCE ONLY","PRE-SIMULATION CANDIDATE"))</x:f>
      </x:c>
      <x:c r="D16" t="str">
        <x:f>IF(V31_CustomUnits!A16="","",V31_CustomUnits!AP16)</x:f>
      </x:c>
      <x:c r="E16" s="100" t="str">
        <x:f>IF(V31_CustomUnits!AK16="","",V31_CustomUnits!AL16-1)</x:f>
      </x:c>
      <x:c r="F16" s="100" t="str">
        <x:f>IF(V31_CustomUnits!A16="","",V31_CustomUnits!AS16-1)</x:f>
      </x:c>
      <x:c r="G16" s="100" t="str">
        <x:f>IF(V31_CustomUnits!A16="","",V31_CustomUnits!AR16-1)</x:f>
      </x:c>
      <x:c r="H16" t="str">
        <x:f>IF(V31_CustomUnits!A16="","","Run matched-role + matched-position scenarios before changing values.")</x:f>
      </x:c>
      <x:c r="I16" t="str">
        <x:f>IF(V31_CustomUnits!A16="","",IF(V31_CustomUnits!AP16="SKILL","Test skill uptime and counterplay first.",IF(V31_CustomUnits!AP16="DPS","Test 1v1, mass-fire and target-type DPS first.",IF(V31_CustomUnits!AP16="EHP","Test time-to-kill under multiple threat profiles.","Test cost vs production-time alternatives."))))</x:f>
      </x:c>
      <x:c r="J16" t="str">
        <x:f>"YES — never auto-apply before simulation/replay validation."</x:f>
        <x:v>YES — never auto-apply before simulation/replay validation.</x:v>
      </x:c>
      <x:c r="K16" t="str">
        <x:f>IF(V31_CustomUnits!A16="","",V31_CustomUnits!AQ16)</x:f>
      </x:c>
      <x:c r="L16" t="str">
        <x:f>IF(V31_CustomUnits!A16="","",V31_CustomUnits!AA16)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IF(V31_CustomUnits!A17="","",IF(V31_CustomUnits!AO17="WITHIN ARCHETYPE BAND","REFERENCE ONLY","PRE-SIMULATION CANDIDATE"))</x:f>
      </x:c>
      <x:c r="D17" t="str">
        <x:f>IF(V31_CustomUnits!A17="","",V31_CustomUnits!AP17)</x:f>
      </x:c>
      <x:c r="E17" s="100" t="str">
        <x:f>IF(V31_CustomUnits!AK17="","",V31_CustomUnits!AL17-1)</x:f>
      </x:c>
      <x:c r="F17" s="100" t="str">
        <x:f>IF(V31_CustomUnits!A17="","",V31_CustomUnits!AS17-1)</x:f>
      </x:c>
      <x:c r="G17" s="100" t="str">
        <x:f>IF(V31_CustomUnits!A17="","",V31_CustomUnits!AR17-1)</x:f>
      </x:c>
      <x:c r="H17" t="str">
        <x:f>IF(V31_CustomUnits!A17="","","Run matched-role + matched-position scenarios before changing values.")</x:f>
      </x:c>
      <x:c r="I17" t="str">
        <x:f>IF(V31_CustomUnits!A17="","",IF(V31_CustomUnits!AP17="SKILL","Test skill uptime and counterplay first.",IF(V31_CustomUnits!AP17="DPS","Test 1v1, mass-fire and target-type DPS first.",IF(V31_CustomUnits!AP17="EHP","Test time-to-kill under multiple threat profiles.","Test cost vs production-time alternatives."))))</x:f>
      </x:c>
      <x:c r="J17" t="str">
        <x:f>"YES — never auto-apply before simulation/replay validation."</x:f>
        <x:v>YES — never auto-apply before simulation/replay validation.</x:v>
      </x:c>
      <x:c r="K17" t="str">
        <x:f>IF(V31_CustomUnits!A17="","",V31_CustomUnits!AQ17)</x:f>
      </x:c>
      <x:c r="L17" t="str">
        <x:f>IF(V31_CustomUnits!A17="","",V31_CustomUnits!AA17)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IF(V31_CustomUnits!A18="","",IF(V31_CustomUnits!AO18="WITHIN ARCHETYPE BAND","REFERENCE ONLY","PRE-SIMULATION CANDIDATE"))</x:f>
      </x:c>
      <x:c r="D18" t="str">
        <x:f>IF(V31_CustomUnits!A18="","",V31_CustomUnits!AP18)</x:f>
      </x:c>
      <x:c r="E18" s="100" t="str">
        <x:f>IF(V31_CustomUnits!AK18="","",V31_CustomUnits!AL18-1)</x:f>
      </x:c>
      <x:c r="F18" s="100" t="str">
        <x:f>IF(V31_CustomUnits!A18="","",V31_CustomUnits!AS18-1)</x:f>
      </x:c>
      <x:c r="G18" s="100" t="str">
        <x:f>IF(V31_CustomUnits!A18="","",V31_CustomUnits!AR18-1)</x:f>
      </x:c>
      <x:c r="H18" t="str">
        <x:f>IF(V31_CustomUnits!A18="","","Run matched-role + matched-position scenarios before changing values.")</x:f>
      </x:c>
      <x:c r="I18" t="str">
        <x:f>IF(V31_CustomUnits!A18="","",IF(V31_CustomUnits!AP18="SKILL","Test skill uptime and counterplay first.",IF(V31_CustomUnits!AP18="DPS","Test 1v1, mass-fire and target-type DPS first.",IF(V31_CustomUnits!AP18="EHP","Test time-to-kill under multiple threat profiles.","Test cost vs production-time alternatives."))))</x:f>
      </x:c>
      <x:c r="J18" t="str">
        <x:f>"YES — never auto-apply before simulation/replay validation."</x:f>
        <x:v>YES — never auto-apply before simulation/replay validation.</x:v>
      </x:c>
      <x:c r="K18" t="str">
        <x:f>IF(V31_CustomUnits!A18="","",V31_CustomUnits!AQ18)</x:f>
      </x:c>
      <x:c r="L18" t="str">
        <x:f>IF(V31_CustomUnits!A18="","",V31_CustomUnits!AA18)</x:f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8" hidden="0" customWidth="1"/>
    <x:col min="5" max="5" width="30" hidden="0" customWidth="1"/>
    <x:col min="6" max="6" width="22" hidden="0" customWidth="1"/>
    <x:col min="7" max="7" width="34" hidden="0" customWidth="1"/>
    <x:col min="8" max="8" width="38" hidden="0" customWidth="1"/>
  </x:cols>
  <x:sheetData>
    <x:row r="1">
      <x:c r="A1" s="87" t="str">
        <x:v>Custom Commander Rebalancer V3.1 — Validation Dashboard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Metric</x:v>
      </x:c>
      <x:c r="B3" s="92" t="str">
        <x:v>Value</x:v>
      </x:c>
      <x:c r="D3" s="92" t="str">
        <x:v>Interpretation</x:v>
      </x:c>
      <x:c r="E3" s="92" t="str">
        <x:v>Rule</x:v>
      </x:c>
      <x:c r="F3" s="92" t="str">
        <x:v>Current</x:v>
      </x:c>
      <x:c r="G3" s="92" t="str">
        <x:v>Do</x:v>
      </x:c>
      <x:c r="H3" s="92" t="str">
        <x:v>Avoid</x:v>
      </x:c>
    </x:row>
    <x:row r="4">
      <x:c r="A4" t="str">
        <x:v>Units with complete inputs</x:v>
      </x:c>
      <x:c r="B4" t="n">
        <x:f>COUNTIF(V31_CustomUnits!$AO$4:$AO$18,"WITHIN ARCHETYPE BAND")+COUNTIF(V31_CustomUnits!$AO$4:$AO$18,"PRE-SIM ABOVE")+COUNTIF(V31_CustomUnits!$AO$4:$AO$18,"PRE-SIM BELOW")</x:f>
        <x:v>1</x:v>
      </x:c>
      <x:c r="D4" s="35" t="str">
        <x:v>Status</x:v>
      </x:c>
      <x:c r="E4" s="35" t="str">
        <x:v>Archetype band</x:v>
      </x:c>
      <x:c r="F4" s="35" t="str">
        <x:v>Pre-sim</x:v>
      </x:c>
      <x:c r="G4" s="35" t="str">
        <x:v>Run matched scenarios</x:v>
      </x:c>
      <x:c r="H4" s="35" t="str">
        <x:v>Global red-line from mean</x:v>
      </x:c>
    </x:row>
    <x:row r="5">
      <x:c r="A5" t="str">
        <x:v>Within archetype band</x:v>
      </x:c>
      <x:c r="B5" t="n">
        <x:f>COUNTIF(V31_CustomUnits!$AO$4:$AO$18,"WITHIN ARCHETYPE BAND")</x:f>
        <x:v>1</x:v>
      </x:c>
      <x:c r="D5" s="35" t="str">
        <x:v>Skill</x:v>
      </x:c>
      <x:c r="E5" s="35" t="str">
        <x:v>Final multiplier only</x:v>
      </x:c>
      <x:c r="F5" s="35" t="str">
        <x:v>Single layer</x:v>
      </x:c>
      <x:c r="G5" s="35" t="str">
        <x:v>Test uptime/counterplay</x:v>
      </x:c>
      <x:c r="H5" s="35" t="str">
        <x:v>Adding Skill twice</x:v>
      </x:c>
    </x:row>
    <x:row r="6">
      <x:c r="A6" t="str">
        <x:v>Pre-sim above band</x:v>
      </x:c>
      <x:c r="B6" t="n">
        <x:f>COUNTIF(V31_CustomUnits!$AO$4:$AO$18,"PRE-SIM ABOVE")</x:f>
        <x:v>0</x:v>
      </x:c>
      <x:c r="D6" s="35" t="str">
        <x:v>Role</x:v>
      </x:c>
      <x:c r="E6" s="35" t="str">
        <x:v>Final multiplier only</x:v>
      </x:c>
      <x:c r="F6" s="35" t="str">
        <x:v>Single layer</x:v>
      </x:c>
      <x:c r="G6" s="35" t="str">
        <x:v>Compare same-role anchors</x:v>
      </x:c>
      <x:c r="H6" s="35" t="str">
        <x:v>Artificial over-weighting</x:v>
      </x:c>
    </x:row>
    <x:row r="7">
      <x:c r="A7" t="str">
        <x:v>Pre-sim below band</x:v>
      </x:c>
      <x:c r="B7" t="n">
        <x:f>COUNTIF(V31_CustomUnits!$AO$4:$AO$18,"PRE-SIM BELOW")</x:f>
        <x:v>0</x:v>
      </x:c>
      <x:c r="D7" s="35" t="str">
        <x:v>EHP</x:v>
      </x:c>
      <x:c r="E7" s="35" t="str">
        <x:v>Armor-aware HP + raw shield</x:v>
      </x:c>
      <x:c r="F7" s="35" t="str">
        <x:v>Corrected</x:v>
      </x:c>
      <x:c r="G7" s="35" t="str">
        <x:v>Vary threat damage/hit</x:v>
      </x:c>
      <x:c r="H7" s="35" t="str">
        <x:v>Armor on shield</x:v>
      </x:c>
    </x:row>
    <x:row r="8">
      <x:c r="A8" t="str">
        <x:v>Average BalanceScore (reference only)</x:v>
      </x:c>
      <x:c r="B8" s="101" t="n">
        <x:f>IF(COUNT(V31_CustomUnits!$AL$4:$AL$18)=0,"",SUM(V31_CustomUnits!$AL$4:$AL$18)/COUNT(V31_CustomUnits!$AL$4:$AL$18))</x:f>
        <x:v>0.950406167586207</x:v>
      </x:c>
      <x:c r="D8" s="35" t="str">
        <x:v>Scenario</x:v>
      </x:c>
      <x:c r="E8" s="35" t="str">
        <x:v>12 proxies</x:v>
      </x:c>
      <x:c r="F8" s="35" t="str">
        <x:v>Uncalibrated</x:v>
      </x:c>
      <x:c r="G8" s="35" t="str">
        <x:v>Sim/replay calibration</x:v>
      </x:c>
      <x:c r="H8" s="35" t="str">
        <x:v>Treat proxy as truth</x:v>
      </x:c>
    </x:row>
    <x:row r="9">
      <x:c r="A9" t="str">
        <x:v>Scenario calibration</x:v>
      </x:c>
      <x:c r="B9" t="str">
        <x:v>UNVALIDATED</x:v>
      </x:c>
      <x:c r="D9" s="35" t="str">
        <x:v>Recommendations</x:v>
      </x:c>
      <x:c r="E9" s="35" t="str">
        <x:v>Candidate only</x:v>
      </x:c>
      <x:c r="F9" s="35" t="str">
        <x:v>Non-binding</x:v>
      </x:c>
      <x:c r="G9" s="35" t="str">
        <x:v>Validate before patching</x:v>
      </x:c>
      <x:c r="H9" s="35" t="str">
        <x:v>Auto-apply</x:v>
      </x:c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9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9" hidden="0" customWidth="1"/>
    <x:col min="15" max="15" width="9" hidden="0" customWidth="1"/>
    <x:col min="16" max="16" width="10" hidden="0" customWidth="1"/>
    <x:col min="17" max="17" width="11" hidden="0" customWidth="1"/>
    <x:col min="18" max="18" width="16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2" hidden="0" customWidth="1"/>
    <x:col min="24" max="24" width="10" hidden="0" customWidth="1"/>
    <x:col min="25" max="25" width="10" hidden="0" customWidth="1"/>
    <x:col min="26" max="26" width="34" hidden="0" customWidth="1"/>
    <x:col min="27" max="27" width="36" hidden="0" customWidth="1"/>
    <x:col min="28" max="28" width="58" hidden="0" customWidth="1"/>
    <x:col min="29" max="29" width="48" hidden="0" customWidth="1"/>
  </x:cols>
  <x:sheetData>
    <x:row r="1">
      <x:c r="A1" s="111" t="str">
        <x:v>SC2 Co-op Commander Unit Screening — V3.1 corrected model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  <x:c r="AB1" s="111"/>
      <x:c r="AC1" s="111"/>
      <x:c r="AD1"/>
    </x:row>
    <x:row r="2">
      <x:c r="A2" t="str">
        <x:v>Purpose</x:v>
      </x:c>
      <x:c r="B2" t="str">
        <x:v>Public-data screening; EHP/ground DPS/air DPS/range/speed are measured inputs. AOE, Utility, Skill and Role modifiers are neutralized or held out until simulation.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t="str">
        <x:v>Frozen context</x:v>
      </x:c>
      <x:c r="B3" t="str">
        <x:v>LOTV-style baseline / Faster speed / snapshot 2026-08-12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AD4"/>
    </x:row>
    <x:row r="5">
      <x:c r="A5" s="115" t="str">
        <x:v>Commander</x:v>
      </x:c>
      <x:c r="B5" s="115" t="str">
        <x:v>Representative Unit</x:v>
      </x:c>
      <x:c r="C5" s="115" t="str">
        <x:v>Role</x:v>
      </x:c>
      <x:c r="D5" s="115" t="str">
        <x:v>Primary Benchmark</x:v>
      </x:c>
      <x:c r="E5" s="115" t="str">
        <x:v>M</x:v>
      </x:c>
      <x:c r="F5" s="115" t="str">
        <x:v>G</x:v>
      </x:c>
      <x:c r="G5" s="115" t="str">
        <x:v>Supply</x:v>
      </x:c>
      <x:c r="H5" s="115" t="str">
        <x:v>Build / Charge</x:v>
      </x:c>
      <x:c r="I5" s="115" t="str">
        <x:v>HP</x:v>
      </x:c>
      <x:c r="J5" s="115" t="str">
        <x:v>Shield</x:v>
      </x:c>
      <x:c r="K5" s="115" t="str">
        <x:v>Armor</x:v>
      </x:c>
      <x:c r="L5" s="115" t="str">
        <x:v>Ground DPS</x:v>
      </x:c>
      <x:c r="M5" s="115" t="str">
        <x:v>Air DPS</x:v>
      </x:c>
      <x:c r="N5" s="115" t="str">
        <x:v>Range</x:v>
      </x:c>
      <x:c r="O5" s="115" t="str">
        <x:v>Speed</x:v>
      </x:c>
      <x:c r="P5" s="115" t="str">
        <x:v>AOE Index</x:v>
      </x:c>
      <x:c r="Q5" s="115" t="str">
        <x:v>Utility Index</x:v>
      </x:c>
      <x:c r="R5" s="115" t="str">
        <x:v>Model Coverage</x:v>
      </x:c>
      <x:c r="S5" s="115" t="str">
        <x:v>Cost Ratio</x:v>
      </x:c>
      <x:c r="T5" s="115" t="str">
        <x:v>EHP Ratio</x:v>
      </x:c>
      <x:c r="U5" s="115" t="str">
        <x:v>DPS Ratio</x:v>
      </x:c>
      <x:c r="V5" s="115" t="str">
        <x:v>Static Score</x:v>
      </x:c>
      <x:c r="W5" s="115" t="str">
        <x:v>Pre-Sim Score</x:v>
      </x:c>
      <x:c r="X5" s="115" t="str">
        <x:v>Band Low</x:v>
      </x:c>
      <x:c r="Y5" s="115" t="str">
        <x:v>Band High</x:v>
      </x:c>
      <x:c r="Z5" s="115" t="str">
        <x:v>Screen Status</x:v>
      </x:c>
      <x:c r="AA5" s="115" t="str">
        <x:v>Main Reason</x:v>
      </x:c>
      <x:c r="AB5" s="115" t="str">
        <x:v>Excluded Mechanics</x:v>
      </x:c>
      <x:c r="AC5" s="115" t="str">
        <x:v>Source URL</x:v>
      </x:c>
    </x:row>
    <x:row r="6">
      <x:c r="A6" s="35" t="str">
        <x:v>Raynor</x:v>
      </x:c>
      <x:c r="B6" s="35" t="str">
        <x:v>Marine</x:v>
      </x:c>
      <x:c r="C6" s="35" t="str">
        <x:v>General DPS</x:v>
      </x:c>
      <x:c r="D6" s="35" t="str">
        <x:v>Marine</x:v>
      </x:c>
      <x:c r="E6" s="35" t="n">
        <x:v>50</x:v>
      </x:c>
      <x:c r="F6" s="35" t="n">
        <x:v>0</x:v>
      </x:c>
      <x:c r="G6" s="35" t="n">
        <x:v>1</x:v>
      </x:c>
      <x:c r="H6" s="35" t="n">
        <x:v>18</x:v>
      </x:c>
      <x:c r="I6" s="35" t="n">
        <x:v>45</x:v>
      </x:c>
      <x:c r="J6" s="35" t="n">
        <x:v>0</x:v>
      </x:c>
      <x:c r="K6" s="35" t="n">
        <x:v>0</x:v>
      </x:c>
      <x:c r="L6" s="35" t="n">
        <x:v>8.02</x:v>
      </x:c>
      <x:c r="M6" s="35" t="n">
        <x:v>8.02</x:v>
      </x:c>
      <x:c r="N6" s="35" t="n">
        <x:v>5</x:v>
      </x:c>
      <x:c r="O6" s="35" t="n">
        <x:v>3.15</x:v>
      </x:c>
      <x:c r="P6" s="35" t="n">
        <x:v>1</x:v>
      </x:c>
      <x:c r="Q6" s="35" t="n">
        <x:v>1</x:v>
      </x:c>
      <x:c r="R6" s="35" t="str">
        <x:v>HIGH</x:v>
      </x:c>
      <x:c r="S6" s="79" t="n">
        <x:f>(E6+F6*V31_Parameters!$K$5+G6*V31_Parameters!$K$6+H6*V31_Parameters!$K$7)/(VLOOKUP(D6,V31_Benchmark!$A$4:$X$13,3,FALSE)+VLOOKUP(D6,V31_Benchmark!$A$4:$X$13,4,FALSE)*V31_Parameters!$K$5+VLOOKUP(D6,V31_Benchmark!$A$4:$X$13,5,FALSE)*V31_Parameters!$K$6+VLOOKUP(D6,V31_Benchmark!$A$4:$X$13,6,FALSE)*V31_Parameters!$K$7)</x:f>
        <x:v>1</x:v>
      </x:c>
      <x:c r="T6" s="79" t="n">
        <x:f>((I6*V31_Parameters!$F$5/MAX(0.1,V31_Parameters!$F$5-K6))+J6)/((VLOOKUP(D6,V31_Benchmark!$A$4:$X$13,7,FALSE)*V31_Parameters!$F$5/MAX(0.1,V31_Parameters!$F$5-VLOOKUP(D6,V31_Benchmark!$A$4:$X$13,9,FALSE)))+VLOOKUP(D6,V31_Benchmark!$A$4:$X$13,8,FALSE))</x:f>
        <x:v>1</x:v>
      </x:c>
      <x:c r="U6" s="79" t="n">
        <x:f>L6/MAX(0.1,VLOOKUP(D6,V31_Benchmark!$A$4:$X$13,10,FALSE))</x:f>
        <x:v>0.8183673469387754</x:v>
      </x:c>
      <x:c r="V6" s="79" t="n">
        <x:f>V31_Parameters!$B$4*T6+V31_Parameters!$B$5*U6+V31_Parameters!$B$6*IF(VLOOKUP(D6,V31_Benchmark!$A$4:$X$13,11,FALSE)=0,IF(M6=0,1,2),M6/VLOOKUP(D6,V31_Benchmark!$A$4:$X$13,11,FALSE))+V31_Parameters!$B$7*(N6/MAX(0.1,VLOOKUP(D6,V31_Benchmark!$A$4:$X$13,12,FALSE)))+V31_Parameters!$B$8*(O6/MAX(0.1,VLOOKUP(D6,V31_Benchmark!$A$4:$X$13,13,FALSE)))+V31_Parameters!$B$9*(P6/MAX(0.1,VLOOKUP(D6,V31_Benchmark!$A$4:$X$13,15,FALSE)))+V31_Parameters!$B$10*IF(VLOOKUP(D6,V31_Benchmark!$A$4:$X$13,21,FALSE)=0,1,Q6/VLOOKUP(D6,V31_Benchmark!$A$4:$X$13,21,FALSE))</x:f>
        <x:v>0.9364285714285714</x:v>
      </x:c>
      <x:c r="W6" s="79" t="n">
        <x:f>V6/S6</x:f>
        <x:v>0.9364285714285714</x:v>
      </x:c>
      <x:c r="X6" s="39" t="n">
        <x:f>IFERROR(VLOOKUP(C6,V31_Parameters!$A$14:$C$27,2,FALSE),0.85)</x:f>
        <x:v>0.95</x:v>
      </x:c>
      <x:c r="Y6" s="39" t="n">
        <x:f>IFERROR(VLOOKUP(C6,V31_Parameters!$A$14:$C$27,3,FALSE),1.15)</x:f>
        <x:v>1.05</x:v>
      </x:c>
      <x:c r="Z6" s="35" t="str">
        <x:f>IF(R6="UNSUPPORTED","UNSUPPORTED — no matching benchmark",IF(R6="LOW","OUTLIER CANDIDATE — key commander mechanics excluded",IF(AND(W6&lt;X6,R6="HIGH"),"LOW BASE VALUE",IF(AND(W6&gt;Y6,R6="HIGH"),"HIGH BASE VALUE","IN BAND"))))</x:f>
        <x:v>LOW BASE VALUE</x:v>
      </x:c>
      <x:c r="AA6" s="35" t="str">
        <x:f>IF(R6="UNSUPPORTED","No air-capital / hero benchmark",IF(R6="LOW","Skill / rank / charge / suicide mechanics dominate",IF(T6&gt;1.20,"EHP advantage",IF(U6&gt;1.20,"DPS advantage",IF(S6&gt;1.20,"Economic cost burden",IF(W6&lt;X6,"Below role band","Within role band"))))))</x:f>
        <x:v>Below role band</x:v>
      </x:c>
      <x:c r="AB6" s="35" t="str">
        <x:v>https://starcraft2coop.com/commanders/raynor</x:v>
      </x:c>
      <x:c r="AC6" s="35"/>
    </x:row>
    <x:row r="7">
      <x:c r="A7" s="35" t="str">
        <x:v>Kerrigan</x:v>
      </x:c>
      <x:c r="B7" s="35" t="str">
        <x:v>Hydralisk</x:v>
      </x:c>
      <x:c r="C7" s="35" t="str">
        <x:v>Ranged DPS</x:v>
      </x:c>
      <x:c r="D7" s="35" t="str">
        <x:v>Hydralisk</x:v>
      </x:c>
      <x:c r="E7" s="35" t="n">
        <x:v>100</x:v>
      </x:c>
      <x:c r="F7" s="35" t="n">
        <x:v>50</x:v>
      </x:c>
      <x:c r="G7" s="35" t="n">
        <x:v>2</x:v>
      </x:c>
      <x:c r="H7" s="35" t="n">
        <x:v>24</x:v>
      </x:c>
      <x:c r="I7" s="35" t="n">
        <x:v>100</x:v>
      </x:c>
      <x:c r="J7" s="35" t="n">
        <x:v>0</x:v>
      </x:c>
      <x:c r="K7" s="35" t="n">
        <x:v>0</x:v>
      </x:c>
      <x:c r="L7" s="35" t="n">
        <x:v>14</x:v>
      </x:c>
      <x:c r="M7" s="35" t="n">
        <x:v>14</x:v>
      </x:c>
      <x:c r="N7" s="35" t="n">
        <x:v>5</x:v>
      </x:c>
      <x:c r="O7" s="35" t="n">
        <x:v>3.15</x:v>
      </x:c>
      <x:c r="P7" s="35" t="n">
        <x:v>1</x:v>
      </x:c>
      <x:c r="Q7" s="35" t="n">
        <x:v>1</x:v>
      </x:c>
      <x:c r="R7" s="35" t="str">
        <x:v>MEDIUM</x:v>
      </x:c>
      <x:c r="S7" s="79" t="n">
        <x:f>(E7+F7*V31_Parameters!$K$5+G7*V31_Parameters!$K$6+H7*V31_Parameters!$K$7)/(VLOOKUP(D7,V31_Benchmark!$A$4:$X$13,3,FALSE)+VLOOKUP(D7,V31_Benchmark!$A$4:$X$13,4,FALSE)*V31_Parameters!$K$5+VLOOKUP(D7,V31_Benchmark!$A$4:$X$13,5,FALSE)*V31_Parameters!$K$6+VLOOKUP(D7,V31_Benchmark!$A$4:$X$13,6,FALSE)*V31_Parameters!$K$7)</x:f>
        <x:v>1</x:v>
      </x:c>
      <x:c r="T7" s="79" t="n">
        <x:f>((I7*V31_Parameters!$F$5/MAX(0.1,V31_Parameters!$F$5-K7))+J7)/((VLOOKUP(D7,V31_Benchmark!$A$4:$X$13,7,FALSE)*V31_Parameters!$F$5/MAX(0.1,V31_Parameters!$F$5-VLOOKUP(D7,V31_Benchmark!$A$4:$X$13,9,FALSE)))+VLOOKUP(D7,V31_Benchmark!$A$4:$X$13,8,FALSE))</x:f>
        <x:v>1.1111111111111112</x:v>
      </x:c>
      <x:c r="U7" s="79" t="n">
        <x:f>L7/MAX(0.1,VLOOKUP(D7,V31_Benchmark!$A$4:$X$13,10,FALSE))</x:f>
        <x:v>0.6862745098039216</x:v>
      </x:c>
      <x:c r="V7" s="79" t="n">
        <x:f>V31_Parameters!$B$4*T7+V31_Parameters!$B$5*U7+V31_Parameters!$B$6*IF(VLOOKUP(D7,V31_Benchmark!$A$4:$X$13,11,FALSE)=0,IF(M7=0,1,2),M7/VLOOKUP(D7,V31_Benchmark!$A$4:$X$13,11,FALSE))+V31_Parameters!$B$7*(N7/MAX(0.1,VLOOKUP(D7,V31_Benchmark!$A$4:$X$13,12,FALSE)))+V31_Parameters!$B$8*(O7/MAX(0.1,VLOOKUP(D7,V31_Benchmark!$A$4:$X$13,13,FALSE)))+V31_Parameters!$B$9*(P7/MAX(0.1,VLOOKUP(D7,V31_Benchmark!$A$4:$X$13,15,FALSE)))+V31_Parameters!$B$10*IF(VLOOKUP(D7,V31_Benchmark!$A$4:$X$13,21,FALSE)=0,1,Q7/VLOOKUP(D7,V31_Benchmark!$A$4:$X$13,21,FALSE))</x:f>
        <x:v>0.9124183006535947</x:v>
      </x:c>
      <x:c r="W7" s="79" t="n">
        <x:f>V7/S7</x:f>
        <x:v>0.9124183006535947</x:v>
      </x:c>
      <x:c r="X7" s="39" t="n">
        <x:f>IFERROR(VLOOKUP(C7,V31_Parameters!$A$14:$C$27,2,FALSE),0.85)</x:f>
        <x:v>0.93</x:v>
      </x:c>
      <x:c r="Y7" s="39" t="n">
        <x:f>IFERROR(VLOOKUP(C7,V31_Parameters!$A$14:$C$27,3,FALSE),1.15)</x:f>
        <x:v>1.07</x:v>
      </x:c>
      <x:c r="Z7" s="35" t="str">
        <x:f>IF(R7="UNSUPPORTED","UNSUPPORTED — no matching benchmark",IF(R7="LOW","OUTLIER CANDIDATE — key commander mechanics excluded",IF(AND(W7&lt;X7,R7="HIGH"),"LOW BASE VALUE",IF(AND(W7&gt;Y7,R7="HIGH"),"HIGH BASE VALUE","IN BAND"))))</x:f>
        <x:v>IN BAND</x:v>
      </x:c>
      <x:c r="AA7" s="35" t="str">
        <x:f>IF(R7="UNSUPPORTED","No air-capital / hero benchmark",IF(R7="LOW","Skill / rank / charge / suicide mechanics dominate",IF(T7&gt;1.20,"EHP advantage",IF(U7&gt;1.20,"DPS advantage",IF(S7&gt;1.20,"Economic cost burden",IF(W7&lt;X7,"Below role band","Within role band"))))))</x:f>
        <x:v>Below role band</x:v>
      </x:c>
      <x:c r="AB7" s="35" t="str">
        <x:v>https://starcraft2coop.com/commanders/kerrigan</x:v>
      </x:c>
      <x:c r="AC7" s="35"/>
    </x:row>
    <x:row r="8">
      <x:c r="A8" s="35" t="str">
        <x:v>Artanis</x:v>
      </x:c>
      <x:c r="B8" s="35" t="str">
        <x:v>Dragoon</x:v>
      </x:c>
      <x:c r="C8" s="35" t="str">
        <x:v>Ranged DPS</x:v>
      </x:c>
      <x:c r="D8" s="35" t="str">
        <x:v>Stalker</x:v>
      </x:c>
      <x:c r="E8" s="35" t="n">
        <x:v>125</x:v>
      </x:c>
      <x:c r="F8" s="35" t="n">
        <x:v>50</x:v>
      </x:c>
      <x:c r="G8" s="35" t="n">
        <x:v>2</x:v>
      </x:c>
      <x:c r="H8" s="35" t="n">
        <x:v>27</x:v>
      </x:c>
      <x:c r="I8" s="35" t="n">
        <x:v>100</x:v>
      </x:c>
      <x:c r="J8" s="35" t="n">
        <x:v>80</x:v>
      </x:c>
      <x:c r="K8" s="35" t="n">
        <x:v>1</x:v>
      </x:c>
      <x:c r="L8" s="35" t="n">
        <x:v>9</x:v>
      </x:c>
      <x:c r="M8" s="35" t="n">
        <x:v>9</x:v>
      </x:c>
      <x:c r="N8" s="35" t="n">
        <x:v>6</x:v>
      </x:c>
      <x:c r="O8" s="35" t="n">
        <x:v>3.15</x:v>
      </x:c>
      <x:c r="P8" s="35" t="n">
        <x:v>1</x:v>
      </x:c>
      <x:c r="Q8" s="35" t="n">
        <x:v>1</x:v>
      </x:c>
      <x:c r="R8" s="35" t="str">
        <x:v>HIGH</x:v>
      </x:c>
      <x:c r="S8" s="79" t="n">
        <x:f>(E8+F8*V31_Parameters!$K$5+G8*V31_Parameters!$K$6+H8*V31_Parameters!$K$7)/(VLOOKUP(D8,V31_Benchmark!$A$4:$X$13,3,FALSE)+VLOOKUP(D8,V31_Benchmark!$A$4:$X$13,4,FALSE)*V31_Parameters!$K$5+VLOOKUP(D8,V31_Benchmark!$A$4:$X$13,5,FALSE)*V31_Parameters!$K$6+VLOOKUP(D8,V31_Benchmark!$A$4:$X$13,6,FALSE)*V31_Parameters!$K$7)</x:f>
        <x:v>1</x:v>
      </x:c>
      <x:c r="T8" s="79" t="n">
        <x:f>((I8*V31_Parameters!$F$5/MAX(0.1,V31_Parameters!$F$5-K8))+J8)/((VLOOKUP(D8,V31_Benchmark!$A$4:$X$13,7,FALSE)*V31_Parameters!$F$5/MAX(0.1,V31_Parameters!$F$5-VLOOKUP(D8,V31_Benchmark!$A$4:$X$13,9,FALSE)))+VLOOKUP(D8,V31_Benchmark!$A$4:$X$13,8,FALSE))</x:f>
        <x:v>1.131578947368421</x:v>
      </x:c>
      <x:c r="U8" s="79" t="n">
        <x:f>L8/MAX(0.1,VLOOKUP(D8,V31_Benchmark!$A$4:$X$13,10,FALSE))</x:f>
        <x:v>0.9278350515463918</x:v>
      </x:c>
      <x:c r="V8" s="79" t="n">
        <x:f>V31_Parameters!$B$4*T8+V31_Parameters!$B$5*U8+V31_Parameters!$B$6*IF(VLOOKUP(D8,V31_Benchmark!$A$4:$X$13,11,FALSE)=0,IF(M8=0,1,2),M8/VLOOKUP(D8,V31_Benchmark!$A$4:$X$13,11,FALSE))+V31_Parameters!$B$7*(N8/MAX(0.1,VLOOKUP(D8,V31_Benchmark!$A$4:$X$13,12,FALSE)))+V31_Parameters!$B$8*(O8/MAX(0.1,VLOOKUP(D8,V31_Benchmark!$A$4:$X$13,13,FALSE)))+V31_Parameters!$B$9*(P8/MAX(0.1,VLOOKUP(D8,V31_Benchmark!$A$4:$X$13,15,FALSE)))+V31_Parameters!$B$10*IF(VLOOKUP(D8,V31_Benchmark!$A$4:$X$13,21,FALSE)=0,1,Q8/VLOOKUP(D8,V31_Benchmark!$A$4:$X$13,21,FALSE))</x:f>
        <x:v>0.9773292439555993</x:v>
      </x:c>
      <x:c r="W8" s="79" t="n">
        <x:f>V8/S8</x:f>
        <x:v>0.9773292439555993</x:v>
      </x:c>
      <x:c r="X8" s="39" t="n">
        <x:f>IFERROR(VLOOKUP(C8,V31_Parameters!$A$14:$C$27,2,FALSE),0.85)</x:f>
        <x:v>0.93</x:v>
      </x:c>
      <x:c r="Y8" s="39" t="n">
        <x:f>IFERROR(VLOOKUP(C8,V31_Parameters!$A$14:$C$27,3,FALSE),1.15)</x:f>
        <x:v>1.07</x:v>
      </x:c>
      <x:c r="Z8" s="35" t="str">
        <x:f>IF(R8="UNSUPPORTED","UNSUPPORTED — no matching benchmark",IF(R8="LOW","OUTLIER CANDIDATE — key commander mechanics excluded",IF(AND(W8&lt;X8,R8="HIGH"),"LOW BASE VALUE",IF(AND(W8&gt;Y8,R8="HIGH"),"HIGH BASE VALUE","IN BAND"))))</x:f>
        <x:v>IN BAND</x:v>
      </x:c>
      <x:c r="AA8" s="35" t="str">
        <x:f>IF(R8="UNSUPPORTED","No air-capital / hero benchmark",IF(R8="LOW","Skill / rank / charge / suicide mechanics dominate",IF(T8&gt;1.20,"EHP advantage",IF(U8&gt;1.20,"DPS advantage",IF(S8&gt;1.20,"Economic cost burden",IF(W8&lt;X8,"Below role band","Within role band"))))))</x:f>
        <x:v>Within role band</x:v>
      </x:c>
      <x:c r="AB8" s="35" t="str">
        <x:v>https://starcraft2coop.com/commanders/artanis</x:v>
      </x:c>
      <x:c r="AC8" s="35"/>
    </x:row>
    <x:row r="9">
      <x:c r="A9" s="35" t="str">
        <x:v>Swann</x:v>
      </x:c>
      <x:c r="B9" s="35" t="str">
        <x:v>Goliath</x:v>
      </x:c>
      <x:c r="C9" s="35" t="str">
        <x:v>Ranged DPS</x:v>
      </x:c>
      <x:c r="D9" s="35" t="str">
        <x:v>Hydralisk</x:v>
      </x:c>
      <x:c r="E9" s="35" t="n">
        <x:v>150</x:v>
      </x:c>
      <x:c r="F9" s="35" t="n">
        <x:v>50</x:v>
      </x:c>
      <x:c r="G9" s="35" t="n">
        <x:v>2</x:v>
      </x:c>
      <x:c r="H9" s="35" t="n">
        <x:v>32</x:v>
      </x:c>
      <x:c r="I9" s="35" t="n">
        <x:v>180</x:v>
      </x:c>
      <x:c r="J9" s="35" t="n">
        <x:v>0</x:v>
      </x:c>
      <x:c r="K9" s="35" t="n">
        <x:v>1</x:v>
      </x:c>
      <x:c r="L9" s="35" t="n">
        <x:v>12</x:v>
      </x:c>
      <x:c r="M9" s="35" t="n">
        <x:v>11</x:v>
      </x:c>
      <x:c r="N9" s="35" t="n">
        <x:v>6</x:v>
      </x:c>
      <x:c r="O9" s="35" t="n">
        <x:v>2.25</x:v>
      </x:c>
      <x:c r="P9" s="35" t="n">
        <x:v>1</x:v>
      </x:c>
      <x:c r="Q9" s="35" t="n">
        <x:v>1</x:v>
      </x:c>
      <x:c r="R9" s="35" t="str">
        <x:v>MEDIUM</x:v>
      </x:c>
      <x:c r="S9" s="79" t="n">
        <x:f>(E9+F9*V31_Parameters!$K$5+G9*V31_Parameters!$K$6+H9*V31_Parameters!$K$7)/(VLOOKUP(D9,V31_Benchmark!$A$4:$X$13,3,FALSE)+VLOOKUP(D9,V31_Benchmark!$A$4:$X$13,4,FALSE)*V31_Parameters!$K$5+VLOOKUP(D9,V31_Benchmark!$A$4:$X$13,5,FALSE)*V31_Parameters!$K$6+VLOOKUP(D9,V31_Benchmark!$A$4:$X$13,6,FALSE)*V31_Parameters!$K$7)</x:f>
        <x:v>1.2864721485411141</x:v>
      </x:c>
      <x:c r="T9" s="79" t="n">
        <x:f>((I9*V31_Parameters!$F$5/MAX(0.1,V31_Parameters!$F$5-K9))+J9)/((VLOOKUP(D9,V31_Benchmark!$A$4:$X$13,7,FALSE)*V31_Parameters!$F$5/MAX(0.1,V31_Parameters!$F$5-VLOOKUP(D9,V31_Benchmark!$A$4:$X$13,9,FALSE)))+VLOOKUP(D9,V31_Benchmark!$A$4:$X$13,8,FALSE))</x:f>
        <x:v>2.2222222222222223</x:v>
      </x:c>
      <x:c r="U9" s="79" t="n">
        <x:f>L9/MAX(0.1,VLOOKUP(D9,V31_Benchmark!$A$4:$X$13,10,FALSE))</x:f>
        <x:v>0.5882352941176471</x:v>
      </x:c>
      <x:c r="V9" s="79" t="n">
        <x:f>V31_Parameters!$B$4*T9+V31_Parameters!$B$5*U9+V31_Parameters!$B$6*IF(VLOOKUP(D9,V31_Benchmark!$A$4:$X$13,11,FALSE)=0,IF(M9=0,1,2),M9/VLOOKUP(D9,V31_Benchmark!$A$4:$X$13,11,FALSE))+V31_Parameters!$B$7*(N9/MAX(0.1,VLOOKUP(D9,V31_Benchmark!$A$4:$X$13,12,FALSE)))+V31_Parameters!$B$8*(O9/MAX(0.1,VLOOKUP(D9,V31_Benchmark!$A$4:$X$13,13,FALSE)))+V31_Parameters!$B$9*(P9/MAX(0.1,VLOOKUP(D9,V31_Benchmark!$A$4:$X$13,15,FALSE)))+V31_Parameters!$B$10*IF(VLOOKUP(D9,V31_Benchmark!$A$4:$X$13,21,FALSE)=0,1,Q9/VLOOKUP(D9,V31_Benchmark!$A$4:$X$13,21,FALSE))</x:f>
        <x:v>1.0893043884220355</x:v>
      </x:c>
      <x:c r="W9" s="79" t="n">
        <x:f>V9/S9</x:f>
        <x:v>0.8467376380105306</x:v>
      </x:c>
      <x:c r="X9" s="39" t="n">
        <x:f>IFERROR(VLOOKUP(C9,V31_Parameters!$A$14:$C$27,2,FALSE),0.85)</x:f>
        <x:v>0.93</x:v>
      </x:c>
      <x:c r="Y9" s="39" t="n">
        <x:f>IFERROR(VLOOKUP(C9,V31_Parameters!$A$14:$C$27,3,FALSE),1.15)</x:f>
        <x:v>1.07</x:v>
      </x:c>
      <x:c r="Z9" s="35" t="str">
        <x:f>IF(R9="UNSUPPORTED","UNSUPPORTED — no matching benchmark",IF(R9="LOW","OUTLIER CANDIDATE — key commander mechanics excluded",IF(AND(W9&lt;X9,R9="HIGH"),"LOW BASE VALUE",IF(AND(W9&gt;Y9,R9="HIGH"),"HIGH BASE VALUE","IN BAND"))))</x:f>
        <x:v>IN BAND</x:v>
      </x:c>
      <x:c r="AA9" s="35" t="str">
        <x:f>IF(R9="UNSUPPORTED","No air-capital / hero benchmark",IF(R9="LOW","Skill / rank / charge / suicide mechanics dominate",IF(T9&gt;1.20,"EHP advantage",IF(U9&gt;1.20,"DPS advantage",IF(S9&gt;1.20,"Economic cost burden",IF(W9&lt;X9,"Below role band","Within role band"))))))</x:f>
        <x:v>EHP advantage</x:v>
      </x:c>
      <x:c r="AB9" s="35" t="str">
        <x:v>https://starcraft2coop.com/commanders/swann</x:v>
      </x:c>
      <x:c r="AC9" s="35"/>
    </x:row>
    <x:row r="10">
      <x:c r="A10" s="35" t="str">
        <x:v>Zagara</x:v>
      </x:c>
      <x:c r="B10" s="35" t="str">
        <x:v>Baneling</x:v>
      </x:c>
      <x:c r="C10" s="35" t="str">
        <x:v>Specialist</x:v>
      </x:c>
      <x:c r="D10" s="35" t="str">
        <x:v>Zergling</x:v>
      </x:c>
      <x:c r="E10" s="35" t="n">
        <x:v>22</x:v>
      </x:c>
      <x:c r="F10" s="35" t="n">
        <x:v>14</x:v>
      </x:c>
      <x:c r="G10" s="35" t="n">
        <x:v>0.5</x:v>
      </x:c>
      <x:c r="H10" s="35" t="n">
        <x:v>10</x:v>
      </x:c>
      <x:c r="I10" s="35" t="n">
        <x:v>30</x:v>
      </x:c>
      <x:c r="J10" s="35" t="n">
        <x:v>0</x:v>
      </x:c>
      <x:c r="K10" s="35" t="n">
        <x:v>0</x:v>
      </x:c>
      <x:c r="L10" s="35" t="n">
        <x:v>0</x:v>
      </x:c>
      <x:c r="M10" s="35" t="n">
        <x:v>0</x:v>
      </x:c>
      <x:c r="N10" s="35" t="n">
        <x:v>0.1</x:v>
      </x:c>
      <x:c r="O10" s="35" t="n">
        <x:v>3.375</x:v>
      </x:c>
      <x:c r="P10" s="35" t="n">
        <x:v>1</x:v>
      </x:c>
      <x:c r="Q10" s="35" t="n">
        <x:v>1</x:v>
      </x:c>
      <x:c r="R10" s="35" t="str">
        <x:v>LOW</x:v>
      </x:c>
      <x:c r="S10" s="79" t="n">
        <x:f>(E10+F10*V31_Parameters!$K$5+G10*V31_Parameters!$K$6+H10*V31_Parameters!$K$7)/(VLOOKUP(D10,V31_Benchmark!$A$4:$X$13,3,FALSE)+VLOOKUP(D10,V31_Benchmark!$A$4:$X$13,4,FALSE)*V31_Parameters!$K$5+VLOOKUP(D10,V31_Benchmark!$A$4:$X$13,5,FALSE)*V31_Parameters!$K$6+VLOOKUP(D10,V31_Benchmark!$A$4:$X$13,6,FALSE)*V31_Parameters!$K$7)</x:f>
        <x:v>1.4280442804428044</x:v>
      </x:c>
      <x:c r="T10" s="79" t="n">
        <x:f>((I10*V31_Parameters!$F$5/MAX(0.1,V31_Parameters!$F$5-K10))+J10)/((VLOOKUP(D10,V31_Benchmark!$A$4:$X$13,7,FALSE)*V31_Parameters!$F$5/MAX(0.1,V31_Parameters!$F$5-VLOOKUP(D10,V31_Benchmark!$A$4:$X$13,9,FALSE)))+VLOOKUP(D10,V31_Benchmark!$A$4:$X$13,8,FALSE))</x:f>
        <x:v>0.8571428571428571</x:v>
      </x:c>
      <x:c r="U10" s="79" t="n">
        <x:f>L10/MAX(0.1,VLOOKUP(D10,V31_Benchmark!$A$4:$X$13,10,FALSE))</x:f>
        <x:v>0</x:v>
      </x:c>
      <x:c r="V10" s="79" t="n">
        <x:f>V31_Parameters!$B$4*T10+V31_Parameters!$B$5*U10+V31_Parameters!$B$6*IF(VLOOKUP(D10,V31_Benchmark!$A$4:$X$13,11,FALSE)=0,IF(M10=0,1,2),M10/VLOOKUP(D10,V31_Benchmark!$A$4:$X$13,11,FALSE))+V31_Parameters!$B$7*(N10/MAX(0.1,VLOOKUP(D10,V31_Benchmark!$A$4:$X$13,12,FALSE)))+V31_Parameters!$B$8*(O10/MAX(0.1,VLOOKUP(D10,V31_Benchmark!$A$4:$X$13,13,FALSE)))+V31_Parameters!$B$9*(P10/MAX(0.1,VLOOKUP(D10,V31_Benchmark!$A$4:$X$13,15,FALSE)))+V31_Parameters!$B$10*IF(VLOOKUP(D10,V31_Benchmark!$A$4:$X$13,21,FALSE)=0,1,Q10/VLOOKUP(D10,V31_Benchmark!$A$4:$X$13,21,FALSE))</x:f>
        <x:v>0.6531476997578692</x:v>
      </x:c>
      <x:c r="W10" s="79" t="n">
        <x:f>V10/S10</x:f>
        <x:v>0.4573721618459498</x:v>
      </x:c>
      <x:c r="X10" s="39" t="n">
        <x:f>IFERROR(VLOOKUP(C10,V31_Parameters!$A$14:$C$27,2,FALSE),0.85)</x:f>
        <x:v>0.9</x:v>
      </x:c>
      <x:c r="Y10" s="39" t="n">
        <x:f>IFERROR(VLOOKUP(C10,V31_Parameters!$A$14:$C$27,3,FALSE),1.15)</x:f>
        <x:v>1.1</x:v>
      </x:c>
      <x:c r="Z10" s="35" t="str">
        <x:f>IF(R10="UNSUPPORTED","UNSUPPORTED — no matching benchmark",IF(R10="LOW","OUTLIER CANDIDATE — key commander mechanics excluded",IF(AND(W10&lt;X10,R10="HIGH"),"LOW BASE VALUE",IF(AND(W10&gt;Y10,R10="HIGH"),"HIGH BASE VALUE","IN BAND"))))</x:f>
        <x:v>OUTLIER CANDIDATE — key commander mechanics excluded</x:v>
      </x:c>
      <x:c r="AA10" s="35" t="str">
        <x:f>IF(R10="UNSUPPORTED","No air-capital / hero benchmark",IF(R10="LOW","Skill / rank / charge / suicide mechanics dominate",IF(T10&gt;1.20,"EHP advantage",IF(U10&gt;1.20,"DPS advantage",IF(S10&gt;1.20,"Economic cost burden",IF(W10&lt;X10,"Below role band","Within role band"))))))</x:f>
        <x:v>Skill / rank / charge / suicide mechanics dominate</x:v>
      </x:c>
      <x:c r="AB10" s="35" t="str">
        <x:v>https://starcraft2coop.com/commanders/zagara</x:v>
      </x:c>
      <x:c r="AC10" s="35"/>
    </x:row>
    <x:row r="11">
      <x:c r="A11" s="35" t="str">
        <x:v>Vorazun</x:v>
      </x:c>
      <x:c r="B11" s="35" t="str">
        <x:v>Dark Templar</x:v>
      </x:c>
      <x:c r="C11" s="35" t="str">
        <x:v>Specialist</x:v>
      </x:c>
      <x:c r="D11" s="35" t="str">
        <x:v>Zealot</x:v>
      </x:c>
      <x:c r="E11" s="35" t="n">
        <x:v>125</x:v>
      </x:c>
      <x:c r="F11" s="35" t="n">
        <x:v>125</x:v>
      </x:c>
      <x:c r="G11" s="35" t="n">
        <x:v>2</x:v>
      </x:c>
      <x:c r="H11" s="35" t="n">
        <x:v>45</x:v>
      </x:c>
      <x:c r="I11" s="35" t="n">
        <x:v>40</x:v>
      </x:c>
      <x:c r="J11" s="35" t="n">
        <x:v>160</x:v>
      </x:c>
      <x:c r="K11" s="35" t="n">
        <x:v>1</x:v>
      </x:c>
      <x:c r="L11" s="35" t="n">
        <x:v>26.79</x:v>
      </x:c>
      <x:c r="M11" s="35" t="n">
        <x:v>0</x:v>
      </x:c>
      <x:c r="N11" s="35" t="n">
        <x:v>0.1</x:v>
      </x:c>
      <x:c r="O11" s="35" t="n">
        <x:v>3.68</x:v>
      </x:c>
      <x:c r="P11" s="35" t="n">
        <x:v>1</x:v>
      </x:c>
      <x:c r="Q11" s="35" t="n">
        <x:v>1</x:v>
      </x:c>
      <x:c r="R11" s="35" t="str">
        <x:v>LOW</x:v>
      </x:c>
      <x:c r="S11" s="79" t="n">
        <x:f>(E11+F11*V31_Parameters!$K$5+G11*V31_Parameters!$K$6+H11*V31_Parameters!$K$7)/(VLOOKUP(D11,V31_Benchmark!$A$4:$X$13,3,FALSE)+VLOOKUP(D11,V31_Benchmark!$A$4:$X$13,4,FALSE)*V31_Parameters!$K$5+VLOOKUP(D11,V31_Benchmark!$A$4:$X$13,5,FALSE)*V31_Parameters!$K$6+VLOOKUP(D11,V31_Benchmark!$A$4:$X$13,6,FALSE)*V31_Parameters!$K$7)</x:f>
        <x:v>2.9260869565217393</x:v>
      </x:c>
      <x:c r="T11" s="79" t="n">
        <x:f>((I11*V31_Parameters!$F$5/MAX(0.1,V31_Parameters!$F$5-K11))+J11)/((VLOOKUP(D11,V31_Benchmark!$A$4:$X$13,7,FALSE)*V31_Parameters!$F$5/MAX(0.1,V31_Parameters!$F$5-VLOOKUP(D11,V31_Benchmark!$A$4:$X$13,9,FALSE)))+VLOOKUP(D11,V31_Benchmark!$A$4:$X$13,8,FALSE))</x:f>
        <x:v>1.2689655172413794</x:v>
      </x:c>
      <x:c r="U11" s="79" t="n">
        <x:f>L11/MAX(0.1,VLOOKUP(D11,V31_Benchmark!$A$4:$X$13,10,FALSE))</x:f>
        <x:v>1.4403225806451612</x:v>
      </x:c>
      <x:c r="V11" s="79" t="n">
        <x:f>V31_Parameters!$B$4*T11+V31_Parameters!$B$5*U11+V31_Parameters!$B$6*IF(VLOOKUP(D11,V31_Benchmark!$A$4:$X$13,11,FALSE)=0,IF(M11=0,1,2),M11/VLOOKUP(D11,V31_Benchmark!$A$4:$X$13,11,FALSE))+V31_Parameters!$B$7*(N11/MAX(0.1,VLOOKUP(D11,V31_Benchmark!$A$4:$X$13,12,FALSE)))+V31_Parameters!$B$8*(O11/MAX(0.1,VLOOKUP(D11,V31_Benchmark!$A$4:$X$13,13,FALSE)))+V31_Parameters!$B$9*(P11/MAX(0.1,VLOOKUP(D11,V31_Benchmark!$A$4:$X$13,15,FALSE)))+V31_Parameters!$B$10*IF(VLOOKUP(D11,V31_Benchmark!$A$4:$X$13,21,FALSE)=0,1,Q11/VLOOKUP(D11,V31_Benchmark!$A$4:$X$13,21,FALSE))</x:f>
        <x:v>1.2027152744672212</x:v>
      </x:c>
      <x:c r="W11" s="79" t="n">
        <x:f>V11/S11</x:f>
        <x:v>0.4110319660140577</x:v>
      </x:c>
      <x:c r="X11" s="39" t="n">
        <x:f>IFERROR(VLOOKUP(C11,V31_Parameters!$A$14:$C$27,2,FALSE),0.85)</x:f>
        <x:v>0.9</x:v>
      </x:c>
      <x:c r="Y11" s="39" t="n">
        <x:f>IFERROR(VLOOKUP(C11,V31_Parameters!$A$14:$C$27,3,FALSE),1.15)</x:f>
        <x:v>1.1</x:v>
      </x:c>
      <x:c r="Z11" s="35" t="str">
        <x:f>IF(R11="UNSUPPORTED","UNSUPPORTED — no matching benchmark",IF(R11="LOW","OUTLIER CANDIDATE — key commander mechanics excluded",IF(AND(W11&lt;X11,R11="HIGH"),"LOW BASE VALUE",IF(AND(W11&gt;Y11,R11="HIGH"),"HIGH BASE VALUE","IN BAND"))))</x:f>
        <x:v>OUTLIER CANDIDATE — key commander mechanics excluded</x:v>
      </x:c>
      <x:c r="AA11" s="35" t="str">
        <x:f>IF(R11="UNSUPPORTED","No air-capital / hero benchmark",IF(R11="LOW","Skill / rank / charge / suicide mechanics dominate",IF(T11&gt;1.20,"EHP advantage",IF(U11&gt;1.20,"DPS advantage",IF(S11&gt;1.20,"Economic cost burden",IF(W11&lt;X11,"Below role band","Within role band"))))))</x:f>
        <x:v>Skill / rank / charge / suicide mechanics dominate</x:v>
      </x:c>
      <x:c r="AB11" s="35" t="str">
        <x:v>https://starcraft2coop.com/commanders/vorazun</x:v>
      </x:c>
      <x:c r="AC11" s="35"/>
    </x:row>
    <x:row r="12">
      <x:c r="A12" s="35" t="str">
        <x:v>Karax</x:v>
      </x:c>
      <x:c r="B12" s="35" t="str">
        <x:v>Colossus</x:v>
      </x:c>
      <x:c r="C12" s="35" t="str">
        <x:v>Premium AOE</x:v>
      </x:c>
      <x:c r="D12" s="35" t="str">
        <x:v>Colossus</x:v>
      </x:c>
      <x:c r="E12" s="35" t="n">
        <x:v>390</x:v>
      </x:c>
      <x:c r="F12" s="35" t="n">
        <x:v>260</x:v>
      </x:c>
      <x:c r="G12" s="35" t="n">
        <x:v>6</x:v>
      </x:c>
      <x:c r="H12" s="35" t="n">
        <x:v>75</x:v>
      </x:c>
      <x:c r="I12" s="35" t="n">
        <x:v>300</x:v>
      </x:c>
      <x:c r="J12" s="35" t="n">
        <x:v>150</x:v>
      </x:c>
      <x:c r="K12" s="35" t="n">
        <x:v>1</x:v>
      </x:c>
      <x:c r="L12" s="35" t="n">
        <x:v>18.18</x:v>
      </x:c>
      <x:c r="M12" s="35" t="n">
        <x:v>0</x:v>
      </x:c>
      <x:c r="N12" s="35" t="n">
        <x:v>6</x:v>
      </x:c>
      <x:c r="O12" s="35" t="n">
        <x:v>2.25</x:v>
      </x:c>
      <x:c r="P12" s="35" t="n">
        <x:v>1</x:v>
      </x:c>
      <x:c r="Q12" s="35" t="n">
        <x:v>1</x:v>
      </x:c>
      <x:c r="R12" s="35" t="str">
        <x:v>MEDIUM</x:v>
      </x:c>
      <x:c r="S12" s="79" t="n">
        <x:f>(E12+F12*V31_Parameters!$K$5+G12*V31_Parameters!$K$6+H12*V31_Parameters!$K$7)/(VLOOKUP(D12,V31_Benchmark!$A$4:$X$13,3,FALSE)+VLOOKUP(D12,V31_Benchmark!$A$4:$X$13,4,FALSE)*V31_Parameters!$K$5+VLOOKUP(D12,V31_Benchmark!$A$4:$X$13,5,FALSE)*V31_Parameters!$K$6+VLOOKUP(D12,V31_Benchmark!$A$4:$X$13,6,FALSE)*V31_Parameters!$K$7)</x:f>
        <x:v>1.3016627078384797</x:v>
      </x:c>
      <x:c r="T12" s="79" t="n">
        <x:f>((I12*V31_Parameters!$F$5/MAX(0.1,V31_Parameters!$F$5-K12))+J12)/((VLOOKUP(D12,V31_Benchmark!$A$4:$X$13,7,FALSE)*V31_Parameters!$F$5/MAX(0.1,V31_Parameters!$F$5-VLOOKUP(D12,V31_Benchmark!$A$4:$X$13,9,FALSE)))+VLOOKUP(D12,V31_Benchmark!$A$4:$X$13,8,FALSE))</x:f>
        <x:v>1.3181818181818183</x:v>
      </x:c>
      <x:c r="U12" s="79" t="n">
        <x:f>L12/MAX(0.1,VLOOKUP(D12,V31_Benchmark!$A$4:$X$13,10,FALSE))</x:f>
        <x:v>0.9721925133689839</x:v>
      </x:c>
      <x:c r="V12" s="79" t="n">
        <x:f>V31_Parameters!$B$4*T12+V31_Parameters!$B$5*U12+V31_Parameters!$B$6*IF(VLOOKUP(D12,V31_Benchmark!$A$4:$X$13,11,FALSE)=0,IF(M12=0,1,2),M12/VLOOKUP(D12,V31_Benchmark!$A$4:$X$13,11,FALSE))+V31_Parameters!$B$7*(N12/MAX(0.1,VLOOKUP(D12,V31_Benchmark!$A$4:$X$13,12,FALSE)))+V31_Parameters!$B$8*(O12/MAX(0.1,VLOOKUP(D12,V31_Benchmark!$A$4:$X$13,13,FALSE)))+V31_Parameters!$B$9*(P12/MAX(0.1,VLOOKUP(D12,V31_Benchmark!$A$4:$X$13,15,FALSE)))+V31_Parameters!$B$10*IF(VLOOKUP(D12,V31_Benchmark!$A$4:$X$13,21,FALSE)=0,1,Q12/VLOOKUP(D12,V31_Benchmark!$A$4:$X$13,21,FALSE))</x:f>
        <x:v>0.922436974789916</x:v>
      </x:c>
      <x:c r="W12" s="79" t="n">
        <x:f>V12/S12</x:f>
        <x:v>0.708660522603202</x:v>
      </x:c>
      <x:c r="X12" s="39" t="n">
        <x:f>IFERROR(VLOOKUP(C12,V31_Parameters!$A$14:$C$27,2,FALSE),0.85)</x:f>
        <x:v>0.85</x:v>
      </x:c>
      <x:c r="Y12" s="39" t="n">
        <x:f>IFERROR(VLOOKUP(C12,V31_Parameters!$A$14:$C$27,3,FALSE),1.15)</x:f>
        <x:v>1.15</x:v>
      </x:c>
      <x:c r="Z12" s="35" t="str">
        <x:f>IF(R12="UNSUPPORTED","UNSUPPORTED — no matching benchmark",IF(R12="LOW","OUTLIER CANDIDATE — key commander mechanics excluded",IF(AND(W12&lt;X12,R12="HIGH"),"LOW BASE VALUE",IF(AND(W12&gt;Y12,R12="HIGH"),"HIGH BASE VALUE","IN BAND"))))</x:f>
        <x:v>IN BAND</x:v>
      </x:c>
      <x:c r="AA12" s="35" t="str">
        <x:f>IF(R12="UNSUPPORTED","No air-capital / hero benchmark",IF(R12="LOW","Skill / rank / charge / suicide mechanics dominate",IF(T12&gt;1.20,"EHP advantage",IF(U12&gt;1.20,"DPS advantage",IF(S12&gt;1.20,"Economic cost burden",IF(W12&lt;X12,"Below role band","Within role band"))))))</x:f>
        <x:v>EHP advantage</x:v>
      </x:c>
      <x:c r="AB12" s="35" t="str">
        <x:v>https://starcraft2coop.com/commanders/karax</x:v>
      </x:c>
      <x:c r="AC12" s="35"/>
    </x:row>
    <x:row r="13">
      <x:c r="A13" s="35" t="str">
        <x:v>Abathur</x:v>
      </x:c>
      <x:c r="B13" s="35" t="str">
        <x:v>Roach</x:v>
      </x:c>
      <x:c r="C13" s="35" t="str">
        <x:v>Durable Assault</x:v>
      </x:c>
      <x:c r="D13" s="35" t="str">
        <x:v>Roach</x:v>
      </x:c>
      <x:c r="E13" s="35" t="n">
        <x:v>100</x:v>
      </x:c>
      <x:c r="F13" s="35" t="n">
        <x:v>0</x:v>
      </x:c>
      <x:c r="G13" s="35" t="n">
        <x:v>2</x:v>
      </x:c>
      <x:c r="H13" s="35" t="n">
        <x:v>27</x:v>
      </x:c>
      <x:c r="I13" s="35" t="n">
        <x:v>145</x:v>
      </x:c>
      <x:c r="J13" s="35" t="n">
        <x:v>0</x:v>
      </x:c>
      <x:c r="K13" s="35" t="n">
        <x:v>1</x:v>
      </x:c>
      <x:c r="L13" s="35" t="n">
        <x:v>8</x:v>
      </x:c>
      <x:c r="M13" s="35" t="n">
        <x:v>0</x:v>
      </x:c>
      <x:c r="N13" s="35" t="n">
        <x:v>4</x:v>
      </x:c>
      <x:c r="O13" s="35" t="n">
        <x:v>2.25</x:v>
      </x:c>
      <x:c r="P13" s="35" t="n">
        <x:v>1</x:v>
      </x:c>
      <x:c r="Q13" s="35" t="n">
        <x:v>1</x:v>
      </x:c>
      <x:c r="R13" s="35" t="str">
        <x:v>MEDIUM</x:v>
      </x:c>
      <x:c r="S13" s="79" t="n">
        <x:f>(E13+F13*V31_Parameters!$K$5+G13*V31_Parameters!$K$6+H13*V31_Parameters!$K$7)/(VLOOKUP(D13,V31_Benchmark!$A$4:$X$13,3,FALSE)+VLOOKUP(D13,V31_Benchmark!$A$4:$X$13,4,FALSE)*V31_Parameters!$K$5+VLOOKUP(D13,V31_Benchmark!$A$4:$X$13,5,FALSE)*V31_Parameters!$K$6+VLOOKUP(D13,V31_Benchmark!$A$4:$X$13,6,FALSE)*V31_Parameters!$K$7)</x:f>
        <x:v>0.9311740890688259</x:v>
      </x:c>
      <x:c r="T13" s="79" t="n">
        <x:f>((I13*V31_Parameters!$F$5/MAX(0.1,V31_Parameters!$F$5-K13))+J13)/((VLOOKUP(D13,V31_Benchmark!$A$4:$X$13,7,FALSE)*V31_Parameters!$F$5/MAX(0.1,V31_Parameters!$F$5-VLOOKUP(D13,V31_Benchmark!$A$4:$X$13,9,FALSE)))+VLOOKUP(D13,V31_Benchmark!$A$4:$X$13,8,FALSE))</x:f>
        <x:v>1</x:v>
      </x:c>
      <x:c r="U13" s="79" t="n">
        <x:f>L13/MAX(0.1,VLOOKUP(D13,V31_Benchmark!$A$4:$X$13,10,FALSE))</x:f>
        <x:v>0.7142857142857143</x:v>
      </x:c>
      <x:c r="V13" s="79" t="n">
        <x:f>V31_Parameters!$B$4*T13+V31_Parameters!$B$5*U13+V31_Parameters!$B$6*IF(VLOOKUP(D13,V31_Benchmark!$A$4:$X$13,11,FALSE)=0,IF(M13=0,1,2),M13/VLOOKUP(D13,V31_Benchmark!$A$4:$X$13,11,FALSE))+V31_Parameters!$B$7*(N13/MAX(0.1,VLOOKUP(D13,V31_Benchmark!$A$4:$X$13,12,FALSE)))+V31_Parameters!$B$8*(O13/MAX(0.1,VLOOKUP(D13,V31_Benchmark!$A$4:$X$13,13,FALSE)))+V31_Parameters!$B$9*(P13/MAX(0.1,VLOOKUP(D13,V31_Benchmark!$A$4:$X$13,15,FALSE)))+V31_Parameters!$B$10*IF(VLOOKUP(D13,V31_Benchmark!$A$4:$X$13,21,FALSE)=0,1,Q13/VLOOKUP(D13,V31_Benchmark!$A$4:$X$13,21,FALSE))</x:f>
        <x:v>0.8857142857142857</x:v>
      </x:c>
      <x:c r="W13" s="79" t="n">
        <x:f>V13/S13</x:f>
        <x:v>0.9511801242236024</x:v>
      </x:c>
      <x:c r="X13" s="39" t="n">
        <x:f>IFERROR(VLOOKUP(C13,V31_Parameters!$A$14:$C$27,2,FALSE),0.85)</x:f>
        <x:v>0.93</x:v>
      </x:c>
      <x:c r="Y13" s="39" t="n">
        <x:f>IFERROR(VLOOKUP(C13,V31_Parameters!$A$14:$C$27,3,FALSE),1.15)</x:f>
        <x:v>1.07</x:v>
      </x:c>
      <x:c r="Z13" s="35" t="str">
        <x:f>IF(R13="UNSUPPORTED","UNSUPPORTED — no matching benchmark",IF(R13="LOW","OUTLIER CANDIDATE — key commander mechanics excluded",IF(AND(W13&lt;X13,R13="HIGH"),"LOW BASE VALUE",IF(AND(W13&gt;Y13,R13="HIGH"),"HIGH BASE VALUE","IN BAND"))))</x:f>
        <x:v>IN BAND</x:v>
      </x:c>
      <x:c r="AA13" s="35" t="str">
        <x:f>IF(R13="UNSUPPORTED","No air-capital / hero benchmark",IF(R13="LOW","Skill / rank / charge / suicide mechanics dominate",IF(T13&gt;1.20,"EHP advantage",IF(U13&gt;1.20,"DPS advantage",IF(S13&gt;1.20,"Economic cost burden",IF(W13&lt;X13,"Below role band","Within role band"))))))</x:f>
        <x:v>Within role band</x:v>
      </x:c>
      <x:c r="AB13" s="35" t="str">
        <x:v>https://starcraft2coop.com/commanders/abathur</x:v>
      </x:c>
      <x:c r="AC13" s="35"/>
    </x:row>
    <x:row r="14">
      <x:c r="A14" s="35" t="str">
        <x:v>Alarak</x:v>
      </x:c>
      <x:c r="B14" s="35" t="str">
        <x:v>Slayer</x:v>
      </x:c>
      <x:c r="C14" s="35" t="str">
        <x:v>Mobile General</x:v>
      </x:c>
      <x:c r="D14" s="35" t="str">
        <x:v>Stalker</x:v>
      </x:c>
      <x:c r="E14" s="35" t="n">
        <x:v>125</x:v>
      </x:c>
      <x:c r="F14" s="35" t="n">
        <x:v>50</x:v>
      </x:c>
      <x:c r="G14" s="35" t="n">
        <x:v>2</x:v>
      </x:c>
      <x:c r="H14" s="35" t="n">
        <x:v>42</x:v>
      </x:c>
      <x:c r="I14" s="35" t="n">
        <x:v>80</x:v>
      </x:c>
      <x:c r="J14" s="35" t="n">
        <x:v>80</x:v>
      </x:c>
      <x:c r="K14" s="35" t="n">
        <x:v>1</x:v>
      </x:c>
      <x:c r="L14" s="35" t="n">
        <x:v>9.03</x:v>
      </x:c>
      <x:c r="M14" s="35" t="n">
        <x:v>0</x:v>
      </x:c>
      <x:c r="N14" s="35" t="n">
        <x:v>6</x:v>
      </x:c>
      <x:c r="O14" s="35" t="n">
        <x:v>3.13</x:v>
      </x:c>
      <x:c r="P14" s="35" t="n">
        <x:v>1</x:v>
      </x:c>
      <x:c r="Q14" s="35" t="n">
        <x:v>1</x:v>
      </x:c>
      <x:c r="R14" s="35" t="str">
        <x:v>MEDIUM</x:v>
      </x:c>
      <x:c r="S14" s="79" t="n">
        <x:f>(E14+F14*V31_Parameters!$K$5+G14*V31_Parameters!$K$6+H14*V31_Parameters!$K$7)/(VLOOKUP(D14,V31_Benchmark!$A$4:$X$13,3,FALSE)+VLOOKUP(D14,V31_Benchmark!$A$4:$X$13,4,FALSE)*V31_Parameters!$K$5+VLOOKUP(D14,V31_Benchmark!$A$4:$X$13,5,FALSE)*V31_Parameters!$K$6+VLOOKUP(D14,V31_Benchmark!$A$4:$X$13,6,FALSE)*V31_Parameters!$K$7)</x:f>
        <x:v>1.0348837209302326</x:v>
      </x:c>
      <x:c r="T14" s="79" t="n">
        <x:f>((I14*V31_Parameters!$F$5/MAX(0.1,V31_Parameters!$F$5-K14))+J14)/((VLOOKUP(D14,V31_Benchmark!$A$4:$X$13,7,FALSE)*V31_Parameters!$F$5/MAX(0.1,V31_Parameters!$F$5-VLOOKUP(D14,V31_Benchmark!$A$4:$X$13,9,FALSE)))+VLOOKUP(D14,V31_Benchmark!$A$4:$X$13,8,FALSE))</x:f>
        <x:v>1</x:v>
      </x:c>
      <x:c r="U14" s="79" t="n">
        <x:f>L14/MAX(0.1,VLOOKUP(D14,V31_Benchmark!$A$4:$X$13,10,FALSE))</x:f>
        <x:v>0.9309278350515464</x:v>
      </x:c>
      <x:c r="V14" s="79" t="n">
        <x:f>V31_Parameters!$B$4*T14+V31_Parameters!$B$5*U14+V31_Parameters!$B$6*IF(VLOOKUP(D14,V31_Benchmark!$A$4:$X$13,11,FALSE)=0,IF(M14=0,1,2),M14/VLOOKUP(D14,V31_Benchmark!$A$4:$X$13,11,FALSE))+V31_Parameters!$B$7*(N14/MAX(0.1,VLOOKUP(D14,V31_Benchmark!$A$4:$X$13,12,FALSE)))+V31_Parameters!$B$8*(O14/MAX(0.1,VLOOKUP(D14,V31_Benchmark!$A$4:$X$13,13,FALSE)))+V31_Parameters!$B$9*(P14/MAX(0.1,VLOOKUP(D14,V31_Benchmark!$A$4:$X$13,15,FALSE)))+V31_Parameters!$B$10*IF(VLOOKUP(D14,V31_Benchmark!$A$4:$X$13,21,FALSE)=0,1,Q14/VLOOKUP(D14,V31_Benchmark!$A$4:$X$13,21,FALSE))</x:f>
        <x:v>0.9050652754549313</x:v>
      </x:c>
      <x:c r="W14" s="79" t="n">
        <x:f>V14/S14</x:f>
        <x:v>0.8745574571811695</x:v>
      </x:c>
      <x:c r="X14" s="39" t="n">
        <x:f>IFERROR(VLOOKUP(C14,V31_Parameters!$A$14:$C$27,2,FALSE),0.85)</x:f>
        <x:v>0.93</x:v>
      </x:c>
      <x:c r="Y14" s="39" t="n">
        <x:f>IFERROR(VLOOKUP(C14,V31_Parameters!$A$14:$C$27,3,FALSE),1.15)</x:f>
        <x:v>1.07</x:v>
      </x:c>
      <x:c r="Z14" s="35" t="str">
        <x:f>IF(R14="UNSUPPORTED","UNSUPPORTED — no matching benchmark",IF(R14="LOW","OUTLIER CANDIDATE — key commander mechanics excluded",IF(AND(W14&lt;X14,R14="HIGH"),"LOW BASE VALUE",IF(AND(W14&gt;Y14,R14="HIGH"),"HIGH BASE VALUE","IN BAND"))))</x:f>
        <x:v>IN BAND</x:v>
      </x:c>
      <x:c r="AA14" s="35" t="str">
        <x:f>IF(R14="UNSUPPORTED","No air-capital / hero benchmark",IF(R14="LOW","Skill / rank / charge / suicide mechanics dominate",IF(T14&gt;1.20,"EHP advantage",IF(U14&gt;1.20,"DPS advantage",IF(S14&gt;1.20,"Economic cost burden",IF(W14&lt;X14,"Below role band","Within role band"))))))</x:f>
        <x:v>Below role band</x:v>
      </x:c>
      <x:c r="AB14" s="35" t="str">
        <x:v>https://starcraft2coop.com/commanders/alarak</x:v>
      </x:c>
      <x:c r="AC14" s="35"/>
    </x:row>
    <x:row r="15">
      <x:c r="A15" s="35" t="str">
        <x:v>Nova</x:v>
      </x:c>
      <x:c r="B15" s="35" t="str">
        <x:v>Elite Marine</x:v>
      </x:c>
      <x:c r="C15" s="35" t="str">
        <x:v>General DPS</x:v>
      </x:c>
      <x:c r="D15" s="35" t="str">
        <x:v>Marine</x:v>
      </x:c>
      <x:c r="E15" s="35" t="n">
        <x:v>150</x:v>
      </x:c>
      <x:c r="F15" s="35" t="n">
        <x:v>0</x:v>
      </x:c>
      <x:c r="G15" s="35" t="n">
        <x:v>1</x:v>
      </x:c>
      <x:c r="H15" s="35" t="n">
        <x:v>300</x:v>
      </x:c>
      <x:c r="I15" s="35" t="n">
        <x:v>150</x:v>
      </x:c>
      <x:c r="J15" s="35" t="n">
        <x:v>0</x:v>
      </x:c>
      <x:c r="K15" s="35" t="n">
        <x:v>0</x:v>
      </x:c>
      <x:c r="L15" s="35" t="n">
        <x:v>10.46</x:v>
      </x:c>
      <x:c r="M15" s="35" t="n">
        <x:v>10.46</x:v>
      </x:c>
      <x:c r="N15" s="35" t="n">
        <x:v>5</x:v>
      </x:c>
      <x:c r="O15" s="35" t="n">
        <x:v>2.25</x:v>
      </x:c>
      <x:c r="P15" s="35" t="n">
        <x:v>1</x:v>
      </x:c>
      <x:c r="Q15" s="35" t="n">
        <x:v>1</x:v>
      </x:c>
      <x:c r="R15" s="35" t="str">
        <x:v>LOW</x:v>
      </x:c>
      <x:c r="S15" s="79" t="n">
        <x:f>(E15+F15*V31_Parameters!$K$5+G15*V31_Parameters!$K$6+H15*V31_Parameters!$K$7)/(VLOOKUP(D15,V31_Benchmark!$A$4:$X$13,3,FALSE)+VLOOKUP(D15,V31_Benchmark!$A$4:$X$13,4,FALSE)*V31_Parameters!$K$5+VLOOKUP(D15,V31_Benchmark!$A$4:$X$13,5,FALSE)*V31_Parameters!$K$6+VLOOKUP(D15,V31_Benchmark!$A$4:$X$13,6,FALSE)*V31_Parameters!$K$7)</x:f>
        <x:v>5.03347280334728</x:v>
      </x:c>
      <x:c r="T15" s="79" t="n">
        <x:f>((I15*V31_Parameters!$F$5/MAX(0.1,V31_Parameters!$F$5-K15))+J15)/((VLOOKUP(D15,V31_Benchmark!$A$4:$X$13,7,FALSE)*V31_Parameters!$F$5/MAX(0.1,V31_Parameters!$F$5-VLOOKUP(D15,V31_Benchmark!$A$4:$X$13,9,FALSE)))+VLOOKUP(D15,V31_Benchmark!$A$4:$X$13,8,FALSE))</x:f>
        <x:v>3.3333333333333335</x:v>
      </x:c>
      <x:c r="U15" s="79" t="n">
        <x:f>L15/MAX(0.1,VLOOKUP(D15,V31_Benchmark!$A$4:$X$13,10,FALSE))</x:f>
        <x:v>1.0673469387755101</x:v>
      </x:c>
      <x:c r="V15" s="79" t="n">
        <x:f>V31_Parameters!$B$4*T15+V31_Parameters!$B$5*U15+V31_Parameters!$B$6*IF(VLOOKUP(D15,V31_Benchmark!$A$4:$X$13,11,FALSE)=0,IF(M15=0,1,2),M15/VLOOKUP(D15,V31_Benchmark!$A$4:$X$13,11,FALSE))+V31_Parameters!$B$7*(N15/MAX(0.1,VLOOKUP(D15,V31_Benchmark!$A$4:$X$13,12,FALSE)))+V31_Parameters!$B$8*(O15/MAX(0.1,VLOOKUP(D15,V31_Benchmark!$A$4:$X$13,13,FALSE)))+V31_Parameters!$B$9*(P15/MAX(0.1,VLOOKUP(D15,V31_Benchmark!$A$4:$X$13,15,FALSE)))+V31_Parameters!$B$10*IF(VLOOKUP(D15,V31_Benchmark!$A$4:$X$13,21,FALSE)=0,1,Q15/VLOOKUP(D15,V31_Benchmark!$A$4:$X$13,21,FALSE))</x:f>
        <x:v>1.4616666666666667</x:v>
      </x:c>
      <x:c r="W15" s="79" t="n">
        <x:f>V15/S15</x:f>
        <x:v>0.2903893045164866</x:v>
      </x:c>
      <x:c r="X15" s="39" t="n">
        <x:f>IFERROR(VLOOKUP(C15,V31_Parameters!$A$14:$C$27,2,FALSE),0.85)</x:f>
        <x:v>0.95</x:v>
      </x:c>
      <x:c r="Y15" s="39" t="n">
        <x:f>IFERROR(VLOOKUP(C15,V31_Parameters!$A$14:$C$27,3,FALSE),1.15)</x:f>
        <x:v>1.05</x:v>
      </x:c>
      <x:c r="Z15" s="35" t="str">
        <x:f>IF(R15="UNSUPPORTED","UNSUPPORTED — no matching benchmark",IF(R15="LOW","OUTLIER CANDIDATE — key commander mechanics excluded",IF(AND(W15&lt;X15,R15="HIGH"),"LOW BASE VALUE",IF(AND(W15&gt;Y15,R15="HIGH"),"HIGH BASE VALUE","IN BAND"))))</x:f>
        <x:v>OUTLIER CANDIDATE — key commander mechanics excluded</x:v>
      </x:c>
      <x:c r="AA15" s="35" t="str">
        <x:f>IF(R15="UNSUPPORTED","No air-capital / hero benchmark",IF(R15="LOW","Skill / rank / charge / suicide mechanics dominate",IF(T15&gt;1.20,"EHP advantage",IF(U15&gt;1.20,"DPS advantage",IF(S15&gt;1.20,"Economic cost burden",IF(W15&lt;X15,"Below role band","Within role band"))))))</x:f>
        <x:v>Skill / rank / charge / suicide mechanics dominate</x:v>
      </x:c>
      <x:c r="AB15" s="35" t="str">
        <x:v>https://starcraft2coop.com/commanders/nova</x:v>
      </x:c>
      <x:c r="AC15" s="35"/>
    </x:row>
    <x:row r="16">
      <x:c r="A16" s="35" t="str">
        <x:v>Stukov</x:v>
      </x:c>
      <x:c r="B16" s="35" t="str">
        <x:v>Infested Diamondback</x:v>
      </x:c>
      <x:c r="C16" s="35" t="str">
        <x:v>Durable Assault</x:v>
      </x:c>
      <x:c r="D16" s="35" t="str">
        <x:v>Roach</x:v>
      </x:c>
      <x:c r="E16" s="35" t="n">
        <x:v>225</x:v>
      </x:c>
      <x:c r="F16" s="35" t="n">
        <x:v>75</x:v>
      </x:c>
      <x:c r="G16" s="35" t="n">
        <x:v>3</x:v>
      </x:c>
      <x:c r="H16" s="35" t="n">
        <x:v>32</x:v>
      </x:c>
      <x:c r="I16" s="35" t="n">
        <x:v>250</x:v>
      </x:c>
      <x:c r="J16" s="35" t="n">
        <x:v>0</x:v>
      </x:c>
      <x:c r="K16" s="35" t="n">
        <x:v>1</x:v>
      </x:c>
      <x:c r="L16" s="35" t="n">
        <x:v>20</x:v>
      </x:c>
      <x:c r="M16" s="35" t="n">
        <x:v>0</x:v>
      </x:c>
      <x:c r="N16" s="35" t="n">
        <x:v>8</x:v>
      </x:c>
      <x:c r="O16" s="35" t="n">
        <x:v>3.375</x:v>
      </x:c>
      <x:c r="P16" s="35" t="n">
        <x:v>1</x:v>
      </x:c>
      <x:c r="Q16" s="35" t="n">
        <x:v>1</x:v>
      </x:c>
      <x:c r="R16" s="35" t="str">
        <x:v>MEDIUM</x:v>
      </x:c>
      <x:c r="S16" s="79" t="n">
        <x:f>(E16+F16*V31_Parameters!$K$5+G16*V31_Parameters!$K$6+H16*V31_Parameters!$K$7)/(VLOOKUP(D16,V31_Benchmark!$A$4:$X$13,3,FALSE)+VLOOKUP(D16,V31_Benchmark!$A$4:$X$13,4,FALSE)*V31_Parameters!$K$5+VLOOKUP(D16,V31_Benchmark!$A$4:$X$13,5,FALSE)*V31_Parameters!$K$6+VLOOKUP(D16,V31_Benchmark!$A$4:$X$13,6,FALSE)*V31_Parameters!$K$7)</x:f>
        <x:v>2.880566801619433</x:v>
      </x:c>
      <x:c r="T16" s="79" t="n">
        <x:f>((I16*V31_Parameters!$F$5/MAX(0.1,V31_Parameters!$F$5-K16))+J16)/((VLOOKUP(D16,V31_Benchmark!$A$4:$X$13,7,FALSE)*V31_Parameters!$F$5/MAX(0.1,V31_Parameters!$F$5-VLOOKUP(D16,V31_Benchmark!$A$4:$X$13,9,FALSE)))+VLOOKUP(D16,V31_Benchmark!$A$4:$X$13,8,FALSE))</x:f>
        <x:v>1.7241379310344827</x:v>
      </x:c>
      <x:c r="U16" s="79" t="n">
        <x:f>L16/MAX(0.1,VLOOKUP(D16,V31_Benchmark!$A$4:$X$13,10,FALSE))</x:f>
        <x:v>1.7857142857142858</x:v>
      </x:c>
      <x:c r="V16" s="79" t="n">
        <x:f>V31_Parameters!$B$4*T16+V31_Parameters!$B$5*U16+V31_Parameters!$B$6*IF(VLOOKUP(D16,V31_Benchmark!$A$4:$X$13,11,FALSE)=0,IF(M16=0,1,2),M16/VLOOKUP(D16,V31_Benchmark!$A$4:$X$13,11,FALSE))+V31_Parameters!$B$7*(N16/MAX(0.1,VLOOKUP(D16,V31_Benchmark!$A$4:$X$13,12,FALSE)))+V31_Parameters!$B$8*(O16/MAX(0.1,VLOOKUP(D16,V31_Benchmark!$A$4:$X$13,13,FALSE)))+V31_Parameters!$B$9*(P16/MAX(0.1,VLOOKUP(D16,V31_Benchmark!$A$4:$X$13,15,FALSE)))+V31_Parameters!$B$10*IF(VLOOKUP(D16,V31_Benchmark!$A$4:$X$13,21,FALSE)=0,1,Q16/VLOOKUP(D16,V31_Benchmark!$A$4:$X$13,21,FALSE))</x:f>
        <x:v>1.4876847290640396</x:v>
      </x:c>
      <x:c r="W16" s="79" t="n">
        <x:f>V16/S16</x:f>
        <x:v>0.5164555559786617</x:v>
      </x:c>
      <x:c r="X16" s="39" t="n">
        <x:f>IFERROR(VLOOKUP(C16,V31_Parameters!$A$14:$C$27,2,FALSE),0.85)</x:f>
        <x:v>0.93</x:v>
      </x:c>
      <x:c r="Y16" s="39" t="n">
        <x:f>IFERROR(VLOOKUP(C16,V31_Parameters!$A$14:$C$27,3,FALSE),1.15)</x:f>
        <x:v>1.07</x:v>
      </x:c>
      <x:c r="Z16" s="35" t="str">
        <x:f>IF(R16="UNSUPPORTED","UNSUPPORTED — no matching benchmark",IF(R16="LOW","OUTLIER CANDIDATE — key commander mechanics excluded",IF(AND(W16&lt;X16,R16="HIGH"),"LOW BASE VALUE",IF(AND(W16&gt;Y16,R16="HIGH"),"HIGH BASE VALUE","IN BAND"))))</x:f>
        <x:v>IN BAND</x:v>
      </x:c>
      <x:c r="AA16" s="35" t="str">
        <x:f>IF(R16="UNSUPPORTED","No air-capital / hero benchmark",IF(R16="LOW","Skill / rank / charge / suicide mechanics dominate",IF(T16&gt;1.20,"EHP advantage",IF(U16&gt;1.20,"DPS advantage",IF(S16&gt;1.20,"Economic cost burden",IF(W16&lt;X16,"Below role band","Within role band"))))))</x:f>
        <x:v>EHP advantage</x:v>
      </x:c>
      <x:c r="AB16" s="35" t="str">
        <x:v>https://starcraft2coop.com/commanders/stukov</x:v>
      </x:c>
      <x:c r="AC16" s="35"/>
    </x:row>
    <x:row r="17">
      <x:c r="A17" s="35" t="str">
        <x:v>Fenix</x:v>
      </x:c>
      <x:c r="B17" s="35" t="str">
        <x:v>Legionnaire</x:v>
      </x:c>
      <x:c r="C17" s="35" t="str">
        <x:v>Frontline</x:v>
      </x:c>
      <x:c r="D17" s="35" t="str">
        <x:v>Zealot</x:v>
      </x:c>
      <x:c r="E17" s="35" t="n">
        <x:v>160</x:v>
      </x:c>
      <x:c r="F17" s="35" t="n">
        <x:v>0</x:v>
      </x:c>
      <x:c r="G17" s="35" t="n">
        <x:v>3</x:v>
      </x:c>
      <x:c r="H17" s="35" t="n">
        <x:v>38</x:v>
      </x:c>
      <x:c r="I17" s="35" t="n">
        <x:v>200</x:v>
      </x:c>
      <x:c r="J17" s="35" t="n">
        <x:v>100</x:v>
      </x:c>
      <x:c r="K17" s="35" t="n">
        <x:v>1</x:v>
      </x:c>
      <x:c r="L17" s="35" t="n">
        <x:v>26.67</x:v>
      </x:c>
      <x:c r="M17" s="35" t="n">
        <x:v>0</x:v>
      </x:c>
      <x:c r="N17" s="35" t="n">
        <x:v>0.1</x:v>
      </x:c>
      <x:c r="O17" s="35" t="n">
        <x:v>2.75</x:v>
      </x:c>
      <x:c r="P17" s="35" t="n">
        <x:v>1</x:v>
      </x:c>
      <x:c r="Q17" s="35" t="n">
        <x:v>1</x:v>
      </x:c>
      <x:c r="R17" s="35" t="str">
        <x:v>MEDIUM</x:v>
      </x:c>
      <x:c r="S17" s="79" t="n">
        <x:f>(E17+F17*V31_Parameters!$K$5+G17*V31_Parameters!$K$6+H17*V31_Parameters!$K$7)/(VLOOKUP(D17,V31_Benchmark!$A$4:$X$13,3,FALSE)+VLOOKUP(D17,V31_Benchmark!$A$4:$X$13,4,FALSE)*V31_Parameters!$K$5+VLOOKUP(D17,V31_Benchmark!$A$4:$X$13,5,FALSE)*V31_Parameters!$K$6+VLOOKUP(D17,V31_Benchmark!$A$4:$X$13,6,FALSE)*V31_Parameters!$K$7)</x:f>
        <x:v>1.576086956521739</x:v>
      </x:c>
      <x:c r="T17" s="79" t="n">
        <x:f>((I17*V31_Parameters!$F$5/MAX(0.1,V31_Parameters!$F$5-K17))+J17)/((VLOOKUP(D17,V31_Benchmark!$A$4:$X$13,7,FALSE)*V31_Parameters!$F$5/MAX(0.1,V31_Parameters!$F$5-VLOOKUP(D17,V31_Benchmark!$A$4:$X$13,9,FALSE)))+VLOOKUP(D17,V31_Benchmark!$A$4:$X$13,8,FALSE))</x:f>
        <x:v>2</x:v>
      </x:c>
      <x:c r="U17" s="79" t="n">
        <x:f>L17/MAX(0.1,VLOOKUP(D17,V31_Benchmark!$A$4:$X$13,10,FALSE))</x:f>
        <x:v>1.4338709677419355</x:v>
      </x:c>
      <x:c r="V17" s="79" t="n">
        <x:f>V31_Parameters!$B$4*T17+V31_Parameters!$B$5*U17+V31_Parameters!$B$6*IF(VLOOKUP(D17,V31_Benchmark!$A$4:$X$13,11,FALSE)=0,IF(M17=0,1,2),M17/VLOOKUP(D17,V31_Benchmark!$A$4:$X$13,11,FALSE))+V31_Parameters!$B$7*(N17/MAX(0.1,VLOOKUP(D17,V31_Benchmark!$A$4:$X$13,12,FALSE)))+V31_Parameters!$B$8*(O17/MAX(0.1,VLOOKUP(D17,V31_Benchmark!$A$4:$X$13,13,FALSE)))+V31_Parameters!$B$9*(P17/MAX(0.1,VLOOKUP(D17,V31_Benchmark!$A$4:$X$13,15,FALSE)))+V31_Parameters!$B$10*IF(VLOOKUP(D17,V31_Benchmark!$A$4:$X$13,21,FALSE)=0,1,Q17/VLOOKUP(D17,V31_Benchmark!$A$4:$X$13,21,FALSE))</x:f>
        <x:v>1.317462877624168</x:v>
      </x:c>
      <x:c r="W17" s="79" t="n">
        <x:f>V17/S17</x:f>
        <x:v>0.8359074809753342</x:v>
      </x:c>
      <x:c r="X17" s="39" t="n">
        <x:f>IFERROR(VLOOKUP(C17,V31_Parameters!$A$14:$C$27,2,FALSE),0.85)</x:f>
        <x:v>0.95</x:v>
      </x:c>
      <x:c r="Y17" s="39" t="n">
        <x:f>IFERROR(VLOOKUP(C17,V31_Parameters!$A$14:$C$27,3,FALSE),1.15)</x:f>
        <x:v>1.05</x:v>
      </x:c>
      <x:c r="Z17" s="35" t="str">
        <x:f>IF(R17="UNSUPPORTED","UNSUPPORTED — no matching benchmark",IF(R17="LOW","OUTLIER CANDIDATE — key commander mechanics excluded",IF(AND(W17&lt;X17,R17="HIGH"),"LOW BASE VALUE",IF(AND(W17&gt;Y17,R17="HIGH"),"HIGH BASE VALUE","IN BAND"))))</x:f>
        <x:v>IN BAND</x:v>
      </x:c>
      <x:c r="AA17" s="35" t="str">
        <x:f>IF(R17="UNSUPPORTED","No air-capital / hero benchmark",IF(R17="LOW","Skill / rank / charge / suicide mechanics dominate",IF(T17&gt;1.20,"EHP advantage",IF(U17&gt;1.20,"DPS advantage",IF(S17&gt;1.20,"Economic cost burden",IF(W17&lt;X17,"Below role band","Within role band"))))))</x:f>
        <x:v>EHP advantage</x:v>
      </x:c>
      <x:c r="AB17" s="35" t="str">
        <x:v>https://starcraft2coop.com/commanders/fenix</x:v>
      </x:c>
      <x:c r="AC17" s="35"/>
    </x:row>
    <x:row r="18">
      <x:c r="A18" s="35" t="str">
        <x:v>Dehaka</x:v>
      </x:c>
      <x:c r="B18" s="35" t="str">
        <x:v>Primal Hydralisk</x:v>
      </x:c>
      <x:c r="C18" s="35" t="str">
        <x:v>Ranged DPS</x:v>
      </x:c>
      <x:c r="D18" s="35" t="str">
        <x:v>Hydralisk</x:v>
      </x:c>
      <x:c r="E18" s="35" t="n">
        <x:v>100</x:v>
      </x:c>
      <x:c r="F18" s="35" t="n">
        <x:v>50</x:v>
      </x:c>
      <x:c r="G18" s="35" t="n">
        <x:v>2</x:v>
      </x:c>
      <x:c r="H18" s="35" t="n">
        <x:v>24</x:v>
      </x:c>
      <x:c r="I18" s="35" t="n">
        <x:v>80</x:v>
      </x:c>
      <x:c r="J18" s="35" t="n">
        <x:v>0</x:v>
      </x:c>
      <x:c r="K18" s="35" t="n">
        <x:v>0</x:v>
      </x:c>
      <x:c r="L18" s="35" t="n">
        <x:v>14.46</x:v>
      </x:c>
      <x:c r="M18" s="35" t="n">
        <x:v>14.46</x:v>
      </x:c>
      <x:c r="N18" s="35" t="n">
        <x:v>5</x:v>
      </x:c>
      <x:c r="O18" s="35" t="n">
        <x:v>3.15</x:v>
      </x:c>
      <x:c r="P18" s="35" t="n">
        <x:v>1</x:v>
      </x:c>
      <x:c r="Q18" s="35" t="n">
        <x:v>1</x:v>
      </x:c>
      <x:c r="R18" s="35" t="str">
        <x:v>MEDIUM</x:v>
      </x:c>
      <x:c r="S18" s="79" t="n">
        <x:f>(E18+F18*V31_Parameters!$K$5+G18*V31_Parameters!$K$6+H18*V31_Parameters!$K$7)/(VLOOKUP(D18,V31_Benchmark!$A$4:$X$13,3,FALSE)+VLOOKUP(D18,V31_Benchmark!$A$4:$X$13,4,FALSE)*V31_Parameters!$K$5+VLOOKUP(D18,V31_Benchmark!$A$4:$X$13,5,FALSE)*V31_Parameters!$K$6+VLOOKUP(D18,V31_Benchmark!$A$4:$X$13,6,FALSE)*V31_Parameters!$K$7)</x:f>
        <x:v>1</x:v>
      </x:c>
      <x:c r="T18" s="79" t="n">
        <x:f>((I18*V31_Parameters!$F$5/MAX(0.1,V31_Parameters!$F$5-K18))+J18)/((VLOOKUP(D18,V31_Benchmark!$A$4:$X$13,7,FALSE)*V31_Parameters!$F$5/MAX(0.1,V31_Parameters!$F$5-VLOOKUP(D18,V31_Benchmark!$A$4:$X$13,9,FALSE)))+VLOOKUP(D18,V31_Benchmark!$A$4:$X$13,8,FALSE))</x:f>
        <x:v>0.8888888888888888</x:v>
      </x:c>
      <x:c r="U18" s="79" t="n">
        <x:f>L18/MAX(0.1,VLOOKUP(D18,V31_Benchmark!$A$4:$X$13,10,FALSE))</x:f>
        <x:v>0.7088235294117649</x:v>
      </x:c>
      <x:c r="V18" s="79" t="n">
        <x:f>V31_Parameters!$B$4*T18+V31_Parameters!$B$5*U18+V31_Parameters!$B$6*IF(VLOOKUP(D18,V31_Benchmark!$A$4:$X$13,11,FALSE)=0,IF(M18=0,1,2),M18/VLOOKUP(D18,V31_Benchmark!$A$4:$X$13,11,FALSE))+V31_Parameters!$B$7*(N18/MAX(0.1,VLOOKUP(D18,V31_Benchmark!$A$4:$X$13,12,FALSE)))+V31_Parameters!$B$8*(O18/MAX(0.1,VLOOKUP(D18,V31_Benchmark!$A$4:$X$13,13,FALSE)))+V31_Parameters!$B$9*(P18/MAX(0.1,VLOOKUP(D18,V31_Benchmark!$A$4:$X$13,15,FALSE)))+V31_Parameters!$B$10*IF(VLOOKUP(D18,V31_Benchmark!$A$4:$X$13,21,FALSE)=0,1,Q18/VLOOKUP(D18,V31_Benchmark!$A$4:$X$13,21,FALSE))</x:f>
        <x:v>0.8758660130718955</x:v>
      </x:c>
      <x:c r="W18" s="79" t="n">
        <x:f>V18/S18</x:f>
        <x:v>0.8758660130718955</x:v>
      </x:c>
      <x:c r="X18" s="39" t="n">
        <x:f>IFERROR(VLOOKUP(C18,V31_Parameters!$A$14:$C$27,2,FALSE),0.85)</x:f>
        <x:v>0.93</x:v>
      </x:c>
      <x:c r="Y18" s="39" t="n">
        <x:f>IFERROR(VLOOKUP(C18,V31_Parameters!$A$14:$C$27,3,FALSE),1.15)</x:f>
        <x:v>1.07</x:v>
      </x:c>
      <x:c r="Z18" s="35" t="str">
        <x:f>IF(R18="UNSUPPORTED","UNSUPPORTED — no matching benchmark",IF(R18="LOW","OUTLIER CANDIDATE — key commander mechanics excluded",IF(AND(W18&lt;X18,R18="HIGH"),"LOW BASE VALUE",IF(AND(W18&gt;Y18,R18="HIGH"),"HIGH BASE VALUE","IN BAND"))))</x:f>
        <x:v>IN BAND</x:v>
      </x:c>
      <x:c r="AA18" s="35" t="str">
        <x:f>IF(R18="UNSUPPORTED","No air-capital / hero benchmark",IF(R18="LOW","Skill / rank / charge / suicide mechanics dominate",IF(T18&gt;1.20,"EHP advantage",IF(U18&gt;1.20,"DPS advantage",IF(S18&gt;1.20,"Economic cost burden",IF(W18&lt;X18,"Below role band","Within role band"))))))</x:f>
        <x:v>Below role band</x:v>
      </x:c>
      <x:c r="AB18" s="35" t="str">
        <x:v>https://starcraft2coop.com/commanders/dehaka</x:v>
      </x:c>
      <x:c r="AC18" s="35"/>
    </x:row>
    <x:row r="19">
      <x:c r="A19" s="35" t="str">
        <x:v>Zeratul</x:v>
      </x:c>
      <x:c r="B19" s="35" t="str">
        <x:v>Xel'Naga Ambusher</x:v>
      </x:c>
      <x:c r="C19" s="35" t="str">
        <x:v>Mobile General</x:v>
      </x:c>
      <x:c r="D19" s="35" t="str">
        <x:v>Stalker</x:v>
      </x:c>
      <x:c r="E19" s="35" t="n">
        <x:v>300</x:v>
      </x:c>
      <x:c r="F19" s="35" t="n">
        <x:v>50</x:v>
      </x:c>
      <x:c r="G19" s="35" t="n">
        <x:v>2</x:v>
      </x:c>
      <x:c r="H19" s="35" t="n">
        <x:v>42</x:v>
      </x:c>
      <x:c r="I19" s="35" t="n">
        <x:v>100</x:v>
      </x:c>
      <x:c r="J19" s="35" t="n">
        <x:v>100</x:v>
      </x:c>
      <x:c r="K19" s="35" t="n">
        <x:v>1</x:v>
      </x:c>
      <x:c r="L19" s="35" t="n">
        <x:v>18.06</x:v>
      </x:c>
      <x:c r="M19" s="35" t="n">
        <x:v>18.06</x:v>
      </x:c>
      <x:c r="N19" s="35" t="n">
        <x:v>6</x:v>
      </x:c>
      <x:c r="O19" s="35" t="n">
        <x:v>2.95</x:v>
      </x:c>
      <x:c r="P19" s="35" t="n">
        <x:v>1</x:v>
      </x:c>
      <x:c r="Q19" s="35" t="n">
        <x:v>1</x:v>
      </x:c>
      <x:c r="R19" s="35" t="str">
        <x:v>LOW</x:v>
      </x:c>
      <x:c r="S19" s="79" t="n">
        <x:f>(E19+F19*V31_Parameters!$K$5+G19*V31_Parameters!$K$6+H19*V31_Parameters!$K$7)/(VLOOKUP(D19,V31_Benchmark!$A$4:$X$13,3,FALSE)+VLOOKUP(D19,V31_Benchmark!$A$4:$X$13,4,FALSE)*V31_Parameters!$K$5+VLOOKUP(D19,V31_Benchmark!$A$4:$X$13,5,FALSE)*V31_Parameters!$K$6+VLOOKUP(D19,V31_Benchmark!$A$4:$X$13,6,FALSE)*V31_Parameters!$K$7)</x:f>
        <x:v>1.8488372093023255</x:v>
      </x:c>
      <x:c r="T19" s="79" t="n">
        <x:f>((I19*V31_Parameters!$F$5/MAX(0.1,V31_Parameters!$F$5-K19))+J19)/((VLOOKUP(D19,V31_Benchmark!$A$4:$X$13,7,FALSE)*V31_Parameters!$F$5/MAX(0.1,V31_Parameters!$F$5-VLOOKUP(D19,V31_Benchmark!$A$4:$X$13,9,FALSE)))+VLOOKUP(D19,V31_Benchmark!$A$4:$X$13,8,FALSE))</x:f>
        <x:v>1.25</x:v>
      </x:c>
      <x:c r="U19" s="79" t="n">
        <x:f>L19/MAX(0.1,VLOOKUP(D19,V31_Benchmark!$A$4:$X$13,10,FALSE))</x:f>
        <x:v>1.8618556701030928</x:v>
      </x:c>
      <x:c r="V19" s="79" t="n">
        <x:f>V31_Parameters!$B$4*T19+V31_Parameters!$B$5*U19+V31_Parameters!$B$6*IF(VLOOKUP(D19,V31_Benchmark!$A$4:$X$13,11,FALSE)=0,IF(M19=0,1,2),M19/VLOOKUP(D19,V31_Benchmark!$A$4:$X$13,11,FALSE))+V31_Parameters!$B$7*(N19/MAX(0.1,VLOOKUP(D19,V31_Benchmark!$A$4:$X$13,12,FALSE)))+V31_Parameters!$B$8*(O19/MAX(0.1,VLOOKUP(D19,V31_Benchmark!$A$4:$X$13,13,FALSE)))+V31_Parameters!$B$9*(P19/MAX(0.1,VLOOKUP(D19,V31_Benchmark!$A$4:$X$13,15,FALSE)))+V31_Parameters!$B$10*IF(VLOOKUP(D19,V31_Benchmark!$A$4:$X$13,21,FALSE)=0,1,Q19/VLOOKUP(D19,V31_Benchmark!$A$4:$X$13,21,FALSE))</x:f>
        <x:v>1.323078055964654</x:v>
      </x:c>
      <x:c r="W19" s="79" t="n">
        <x:f>V19/S19</x:f>
        <x:v>0.7156271246098129</x:v>
      </x:c>
      <x:c r="X19" s="39" t="n">
        <x:f>IFERROR(VLOOKUP(C19,V31_Parameters!$A$14:$C$27,2,FALSE),0.85)</x:f>
        <x:v>0.93</x:v>
      </x:c>
      <x:c r="Y19" s="39" t="n">
        <x:f>IFERROR(VLOOKUP(C19,V31_Parameters!$A$14:$C$27,3,FALSE),1.15)</x:f>
        <x:v>1.07</x:v>
      </x:c>
      <x:c r="Z19" s="35" t="str">
        <x:f>IF(R19="UNSUPPORTED","UNSUPPORTED — no matching benchmark",IF(R19="LOW","OUTLIER CANDIDATE — key commander mechanics excluded",IF(AND(W19&lt;X19,R19="HIGH"),"LOW BASE VALUE",IF(AND(W19&gt;Y19,R19="HIGH"),"HIGH BASE VALUE","IN BAND"))))</x:f>
        <x:v>OUTLIER CANDIDATE — key commander mechanics excluded</x:v>
      </x:c>
      <x:c r="AA19" s="35" t="str">
        <x:f>IF(R19="UNSUPPORTED","No air-capital / hero benchmark",IF(R19="LOW","Skill / rank / charge / suicide mechanics dominate",IF(T19&gt;1.20,"EHP advantage",IF(U19&gt;1.20,"DPS advantage",IF(S19&gt;1.20,"Economic cost burden",IF(W19&lt;X19,"Below role band","Within role band"))))))</x:f>
        <x:v>Skill / rank / charge / suicide mechanics dominate</x:v>
      </x:c>
      <x:c r="AB19" s="35" t="str">
        <x:v>https://starcraft2coop.com/commanders/zeratul</x:v>
      </x:c>
      <x:c r="AC19" s="35"/>
    </x:row>
    <x:row r="20">
      <x:c r="A20" s="35" t="str">
        <x:v>Stetmann</x:v>
      </x:c>
      <x:c r="B20" s="35" t="str">
        <x:v>Mecha Hydralisk</x:v>
      </x:c>
      <x:c r="C20" s="35" t="str">
        <x:v>Ranged DPS</x:v>
      </x:c>
      <x:c r="D20" s="35" t="str">
        <x:v>Hydralisk</x:v>
      </x:c>
      <x:c r="E20" s="35" t="n">
        <x:v>100</x:v>
      </x:c>
      <x:c r="F20" s="35" t="n">
        <x:v>50</x:v>
      </x:c>
      <x:c r="G20" s="35" t="n">
        <x:v>2</x:v>
      </x:c>
      <x:c r="H20" s="35" t="n">
        <x:v>24</x:v>
      </x:c>
      <x:c r="I20" s="35" t="n">
        <x:v>80</x:v>
      </x:c>
      <x:c r="J20" s="35" t="n">
        <x:v>0</x:v>
      </x:c>
      <x:c r="K20" s="35" t="n">
        <x:v>0</x:v>
      </x:c>
      <x:c r="L20" s="35" t="n">
        <x:v>14</x:v>
      </x:c>
      <x:c r="M20" s="35" t="n">
        <x:v>14</x:v>
      </x:c>
      <x:c r="N20" s="35" t="n">
        <x:v>5</x:v>
      </x:c>
      <x:c r="O20" s="35" t="n">
        <x:v>3.15</x:v>
      </x:c>
      <x:c r="P20" s="35" t="n">
        <x:v>1</x:v>
      </x:c>
      <x:c r="Q20" s="35" t="n">
        <x:v>1</x:v>
      </x:c>
      <x:c r="R20" s="35" t="str">
        <x:v>MEDIUM</x:v>
      </x:c>
      <x:c r="S20" s="79" t="n">
        <x:f>(E20+F20*V31_Parameters!$K$5+G20*V31_Parameters!$K$6+H20*V31_Parameters!$K$7)/(VLOOKUP(D20,V31_Benchmark!$A$4:$X$13,3,FALSE)+VLOOKUP(D20,V31_Benchmark!$A$4:$X$13,4,FALSE)*V31_Parameters!$K$5+VLOOKUP(D20,V31_Benchmark!$A$4:$X$13,5,FALSE)*V31_Parameters!$K$6+VLOOKUP(D20,V31_Benchmark!$A$4:$X$13,6,FALSE)*V31_Parameters!$K$7)</x:f>
        <x:v>1</x:v>
      </x:c>
      <x:c r="T20" s="79" t="n">
        <x:f>((I20*V31_Parameters!$F$5/MAX(0.1,V31_Parameters!$F$5-K20))+J20)/((VLOOKUP(D20,V31_Benchmark!$A$4:$X$13,7,FALSE)*V31_Parameters!$F$5/MAX(0.1,V31_Parameters!$F$5-VLOOKUP(D20,V31_Benchmark!$A$4:$X$13,9,FALSE)))+VLOOKUP(D20,V31_Benchmark!$A$4:$X$13,8,FALSE))</x:f>
        <x:v>0.8888888888888888</x:v>
      </x:c>
      <x:c r="U20" s="79" t="n">
        <x:f>L20/MAX(0.1,VLOOKUP(D20,V31_Benchmark!$A$4:$X$13,10,FALSE))</x:f>
        <x:v>0.6862745098039216</x:v>
      </x:c>
      <x:c r="V20" s="79" t="n">
        <x:f>V31_Parameters!$B$4*T20+V31_Parameters!$B$5*U20+V31_Parameters!$B$6*IF(VLOOKUP(D20,V31_Benchmark!$A$4:$X$13,11,FALSE)=0,IF(M20=0,1,2),M20/VLOOKUP(D20,V31_Benchmark!$A$4:$X$13,11,FALSE))+V31_Parameters!$B$7*(N20/MAX(0.1,VLOOKUP(D20,V31_Benchmark!$A$4:$X$13,12,FALSE)))+V31_Parameters!$B$8*(O20/MAX(0.1,VLOOKUP(D20,V31_Benchmark!$A$4:$X$13,13,FALSE)))+V31_Parameters!$B$9*(P20/MAX(0.1,VLOOKUP(D20,V31_Benchmark!$A$4:$X$13,15,FALSE)))+V31_Parameters!$B$10*IF(VLOOKUP(D20,V31_Benchmark!$A$4:$X$13,21,FALSE)=0,1,Q20/VLOOKUP(D20,V31_Benchmark!$A$4:$X$13,21,FALSE))</x:f>
        <x:v>0.8679738562091502</x:v>
      </x:c>
      <x:c r="W20" s="79" t="n">
        <x:f>V20/S20</x:f>
        <x:v>0.8679738562091502</x:v>
      </x:c>
      <x:c r="X20" s="39" t="n">
        <x:f>IFERROR(VLOOKUP(C20,V31_Parameters!$A$14:$C$27,2,FALSE),0.85)</x:f>
        <x:v>0.93</x:v>
      </x:c>
      <x:c r="Y20" s="39" t="n">
        <x:f>IFERROR(VLOOKUP(C20,V31_Parameters!$A$14:$C$27,3,FALSE),1.15)</x:f>
        <x:v>1.07</x:v>
      </x:c>
      <x:c r="Z20" s="35" t="str">
        <x:f>IF(R20="UNSUPPORTED","UNSUPPORTED — no matching benchmark",IF(R20="LOW","OUTLIER CANDIDATE — key commander mechanics excluded",IF(AND(W20&lt;X20,R20="HIGH"),"LOW BASE VALUE",IF(AND(W20&gt;Y20,R20="HIGH"),"HIGH BASE VALUE","IN BAND"))))</x:f>
        <x:v>IN BAND</x:v>
      </x:c>
      <x:c r="AA20" s="35" t="str">
        <x:f>IF(R20="UNSUPPORTED","No air-capital / hero benchmark",IF(R20="LOW","Skill / rank / charge / suicide mechanics dominate",IF(T20&gt;1.20,"EHP advantage",IF(U20&gt;1.20,"DPS advantage",IF(S20&gt;1.20,"Economic cost burden",IF(W20&lt;X20,"Below role band","Within role band"))))))</x:f>
        <x:v>Below role band</x:v>
      </x:c>
      <x:c r="AB20" s="35" t="str">
        <x:v>https://starcraft2coop.com/commanders/stetmann</x:v>
      </x:c>
      <x:c r="AC20" s="35"/>
    </x:row>
    <x:row r="21">
      <x:c r="A21" s="35" t="str">
        <x:v>Mengsk</x:v>
      </x:c>
      <x:c r="B21" s="35" t="str">
        <x:v>Aegis Guard</x:v>
      </x:c>
      <x:c r="C21" s="35" t="str">
        <x:v>Anti-Armor</x:v>
      </x:c>
      <x:c r="D21" s="35" t="str">
        <x:v>Marauder</x:v>
      </x:c>
      <x:c r="E21" s="35" t="n">
        <x:v>125</x:v>
      </x:c>
      <x:c r="F21" s="35" t="n">
        <x:v>350</x:v>
      </x:c>
      <x:c r="G21" s="35" t="n">
        <x:v>4</x:v>
      </x:c>
      <x:c r="H21" s="35" t="n">
        <x:v>30</x:v>
      </x:c>
      <x:c r="I21" s="35" t="n">
        <x:v>300</x:v>
      </x:c>
      <x:c r="J21" s="35" t="n">
        <x:v>0</x:v>
      </x:c>
      <x:c r="K21" s="35" t="n">
        <x:v>1</x:v>
      </x:c>
      <x:c r="L21" s="35" t="n">
        <x:v>13.33</x:v>
      </x:c>
      <x:c r="M21" s="35" t="n">
        <x:v>13.33</x:v>
      </x:c>
      <x:c r="N21" s="35" t="n">
        <x:v>6</x:v>
      </x:c>
      <x:c r="O21" s="35" t="n">
        <x:v>2.25</x:v>
      </x:c>
      <x:c r="P21" s="35" t="n">
        <x:v>1</x:v>
      </x:c>
      <x:c r="Q21" s="35" t="n">
        <x:v>1</x:v>
      </x:c>
      <x:c r="R21" s="35" t="str">
        <x:v>LOW</x:v>
      </x:c>
      <x:c r="S21" s="79" t="n">
        <x:f>(E21+F21*V31_Parameters!$K$5+G21*V31_Parameters!$K$6+H21*V31_Parameters!$K$7)/(VLOOKUP(D21,V31_Benchmark!$A$4:$X$13,3,FALSE)+VLOOKUP(D21,V31_Benchmark!$A$4:$X$13,4,FALSE)*V31_Parameters!$K$5+VLOOKUP(D21,V31_Benchmark!$A$4:$X$13,5,FALSE)*V31_Parameters!$K$6+VLOOKUP(D21,V31_Benchmark!$A$4:$X$13,6,FALSE)*V31_Parameters!$K$7)</x:f>
        <x:v>4.468227424749164</x:v>
      </x:c>
      <x:c r="T21" s="79" t="n">
        <x:f>((I21*V31_Parameters!$F$5/MAX(0.1,V31_Parameters!$F$5-K21))+J21)/((VLOOKUP(D21,V31_Benchmark!$A$4:$X$13,7,FALSE)*V31_Parameters!$F$5/MAX(0.1,V31_Parameters!$F$5-VLOOKUP(D21,V31_Benchmark!$A$4:$X$13,9,FALSE)))+VLOOKUP(D21,V31_Benchmark!$A$4:$X$13,8,FALSE))</x:f>
        <x:v>2.4</x:v>
      </x:c>
      <x:c r="U21" s="79" t="n">
        <x:f>L21/MAX(0.1,VLOOKUP(D21,V31_Benchmark!$A$4:$X$13,10,FALSE))</x:f>
        <x:v>1.4333333333333331</x:v>
      </x:c>
      <x:c r="V21" s="79" t="n">
        <x:f>V31_Parameters!$B$4*T21+V31_Parameters!$B$5*U21+V31_Parameters!$B$6*IF(VLOOKUP(D21,V31_Benchmark!$A$4:$X$13,11,FALSE)=0,IF(M21=0,1,2),M21/VLOOKUP(D21,V31_Benchmark!$A$4:$X$13,11,FALSE))+V31_Parameters!$B$7*(N21/MAX(0.1,VLOOKUP(D21,V31_Benchmark!$A$4:$X$13,12,FALSE)))+V31_Parameters!$B$8*(O21/MAX(0.1,VLOOKUP(D21,V31_Benchmark!$A$4:$X$13,13,FALSE)))+V31_Parameters!$B$9*(P21/MAX(0.1,VLOOKUP(D21,V31_Benchmark!$A$4:$X$13,15,FALSE)))+V31_Parameters!$B$10*IF(VLOOKUP(D21,V31_Benchmark!$A$4:$X$13,21,FALSE)=0,1,Q21/VLOOKUP(D21,V31_Benchmark!$A$4:$X$13,21,FALSE))</x:f>
        <x:v>1.403095238095238</x:v>
      </x:c>
      <x:c r="W21" s="79" t="n">
        <x:f>V21/S21</x:f>
        <x:v>0.3140160749928714</x:v>
      </x:c>
      <x:c r="X21" s="39" t="n">
        <x:f>IFERROR(VLOOKUP(C21,V31_Parameters!$A$14:$C$27,2,FALSE),0.85)</x:f>
        <x:v>0.9</x:v>
      </x:c>
      <x:c r="Y21" s="39" t="n">
        <x:f>IFERROR(VLOOKUP(C21,V31_Parameters!$A$14:$C$27,3,FALSE),1.15)</x:f>
        <x:v>1.1</x:v>
      </x:c>
      <x:c r="Z21" s="35" t="str">
        <x:f>IF(R21="UNSUPPORTED","UNSUPPORTED — no matching benchmark",IF(R21="LOW","OUTLIER CANDIDATE — key commander mechanics excluded",IF(AND(W21&lt;X21,R21="HIGH"),"LOW BASE VALUE",IF(AND(W21&gt;Y21,R21="HIGH"),"HIGH BASE VALUE","IN BAND"))))</x:f>
        <x:v>OUTLIER CANDIDATE — key commander mechanics excluded</x:v>
      </x:c>
      <x:c r="AA21" s="35" t="str">
        <x:f>IF(R21="UNSUPPORTED","No air-capital / hero benchmark",IF(R21="LOW","Skill / rank / charge / suicide mechanics dominate",IF(T21&gt;1.20,"EHP advantage",IF(U21&gt;1.20,"DPS advantage",IF(S21&gt;1.20,"Economic cost burden",IF(W21&lt;X21,"Below role band","Within role band"))))))</x:f>
        <x:v>Skill / rank / charge / suicide mechanics dominate</x:v>
      </x:c>
      <x:c r="AB21" s="35" t="str">
        <x:v>https://starcraft2coop.com/commanders/mengsk</x:v>
      </x:c>
      <x:c r="AC21" s="35"/>
    </x:row>
    <x:row r="22">
      <x:c r="A22" s="35" t="str">
        <x:v>Horner</x:v>
      </x:c>
      <x:c r="B22" s="35" t="str">
        <x:v>Sovereign Battlecruiser</x:v>
      </x:c>
      <x:c r="C22" s="35" t="str">
        <x:v>High-tech / Air Capital</x:v>
      </x:c>
      <x:c r="D22" s="35"/>
      <x:c r="E22" s="35" t="n">
        <x:v>1000</x:v>
      </x:c>
      <x:c r="F22" s="35" t="n">
        <x:v>800</x:v>
      </x:c>
      <x:c r="G22" s="35" t="n">
        <x:v>10</x:v>
      </x:c>
      <x:c r="H22" s="35" t="n">
        <x:v>300</x:v>
      </x:c>
      <x:c r="I22" s="35" t="n">
        <x:v>900</x:v>
      </x:c>
      <x:c r="J22" s="35" t="n">
        <x:v>0</x:v>
      </x:c>
      <x:c r="K22" s="35" t="n">
        <x:v>3</x:v>
      </x:c>
      <x:c r="L22" s="35" t="n">
        <x:v>80</x:v>
      </x:c>
      <x:c r="M22" s="35" t="n">
        <x:v>80</x:v>
      </x:c>
      <x:c r="N22" s="35" t="n">
        <x:v>7</x:v>
      </x:c>
      <x:c r="O22" s="35" t="n">
        <x:v>1.88</x:v>
      </x:c>
      <x:c r="P22" s="35" t="n">
        <x:v>1</x:v>
      </x:c>
      <x:c r="Q22" s="35" t="n">
        <x:v>1</x:v>
      </x:c>
      <x:c r="R22" s="35" t="str">
        <x:v>UNSUPPORTED</x:v>
      </x:c>
      <x:c r="S22" s="79"/>
      <x:c r="T22" s="79"/>
      <x:c r="U22" s="79"/>
      <x:c r="V22" s="79"/>
      <x:c r="W22" s="79"/>
      <x:c r="X22" s="39"/>
      <x:c r="Y22" s="39"/>
      <x:c r="Z22" s="35" t="str">
        <x:v>UNSUPPORTED — special archetype</x:v>
      </x:c>
      <x:c r="AA22" s="35" t="str">
        <x:v>No matching benchmark in current V3.1 anchor set</x:v>
      </x:c>
      <x:c r="AB22" s="35" t="str">
        <x:v>https://starcraft2coop.com/commanders/horner</x:v>
      </x:c>
      <x:c r="AC22" s="35"/>
    </x:row>
    <x:row r="23">
      <x:c r="A23" s="35" t="str">
        <x:v>Tychus</x:v>
      </x:c>
      <x:c r="B23" s="35" t="str">
        <x:v>Nux</x:v>
      </x:c>
      <x:c r="C23" s="35" t="str">
        <x:v>Hero / Outlaw</x:v>
      </x:c>
      <x:c r="D23" s="35"/>
      <x:c r="E23" s="35" t="n">
        <x:v>500</x:v>
      </x:c>
      <x:c r="F23" s="35" t="n">
        <x:v>100</x:v>
      </x:c>
      <x:c r="G23" s="35" t="n">
        <x:v>10</x:v>
      </x:c>
      <x:c r="H23" s="35" t="n">
        <x:v>240</x:v>
      </x:c>
      <x:c r="I23" s="35" t="n">
        <x:v>500</x:v>
      </x:c>
      <x:c r="J23" s="35" t="n">
        <x:v>0</x:v>
      </x:c>
      <x:c r="K23" s="35" t="n">
        <x:v>0</x:v>
      </x:c>
      <x:c r="L23" s="35" t="n">
        <x:v>20</x:v>
      </x:c>
      <x:c r="M23" s="35" t="n">
        <x:v>0</x:v>
      </x:c>
      <x:c r="N23" s="35" t="n">
        <x:v>7</x:v>
      </x:c>
      <x:c r="O23" s="35" t="n">
        <x:v>2.95</x:v>
      </x:c>
      <x:c r="P23" s="35" t="n">
        <x:v>1</x:v>
      </x:c>
      <x:c r="Q23" s="35" t="n">
        <x:v>1</x:v>
      </x:c>
      <x:c r="R23" s="35" t="str">
        <x:v>UNSUPPORTED</x:v>
      </x:c>
      <x:c r="S23" s="79"/>
      <x:c r="T23" s="79"/>
      <x:c r="U23" s="79"/>
      <x:c r="V23" s="79"/>
      <x:c r="W23" s="79"/>
      <x:c r="X23" s="39"/>
      <x:c r="Y23" s="39"/>
      <x:c r="Z23" s="35" t="str">
        <x:v>UNSUPPORTED — special archetype</x:v>
      </x:c>
      <x:c r="AA23" s="35" t="str">
        <x:v>No matching benchmark in current V3.1 anchor set</x:v>
      </x:c>
      <x:c r="AB23" s="35" t="str">
        <x:v>https://starcraft2coop.com/commanders/tychus</x:v>
      </x:c>
      <x:c r="AC23" s="35"/>
    </x:row>
  </x:sheetData>
  <x:mergeCells>
    <x:mergeCell ref="A1:AC1"/>
    <x:mergeCell ref="B2:AC2"/>
    <x:mergeCell ref="B3:AC3"/>
  </x:mergeCells>
  <x:conditionalFormatting sqref="W6:W2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3" hidden="0" customWidth="1"/>
    <x:col min="4" max="4" width="11" hidden="0" customWidth="1"/>
    <x:col min="5" max="5" width="55" hidden="0" customWidth="1"/>
    <x:col min="6" max="6" width="55" hidden="0" customWidth="1"/>
    <x:col min="7" max="7" width="48" hidden="0" customWidth="1"/>
    <x:col min="9" max="9" width="15" hidden="0" customWidth="1"/>
    <x:col min="10" max="10" width="10" hidden="0" customWidth="1"/>
  </x:cols>
  <x:sheetData>
    <x:row r="1">
      <x:c r="A1" s="118" t="str">
        <x:v>Commander Screening — obvious deviations</x:v>
      </x:c>
      <x:c r="B1" s="118"/>
      <x:c r="C1" s="118"/>
      <x:c r="D1" s="118"/>
      <x:c r="E1" s="118"/>
      <x:c r="F1" s="118"/>
      <x:c r="G1" s="118"/>
    </x:row>
    <x:row r="2">
      <x:c r="A2" s="119" t="str">
        <x:v>Important</x:v>
      </x:c>
      <x:c r="B2" s="35" t="str">
        <x:v>These are screening anomalies, not automatic balance verdicts. Low-score rows are often missing commander-specific value layers.</x:v>
      </x:c>
      <x:c r="C2" s="35"/>
      <x:c r="D2" s="35"/>
      <x:c r="E2" s="35"/>
      <x:c r="F2" s="35"/>
      <x:c r="G2" s="35"/>
    </x:row>
    <x:row r="3">
      <x:c r="A3" s="119" t="str">
        <x:v>Clean conventional anchors</x:v>
      </x:c>
      <x:c r="B3" s="35" t="str">
        <x:v>Closest conventional checks: Artanis Dragoon ≈ 0.98; Abathur Roach ≈ 0.95; Raynor Marine ≈ 0.94. Alarak is lower at ≈ 0.87, so it remains a useful “needs scenario context” case.</x:v>
      </x:c>
      <x:c r="C3" s="35"/>
      <x:c r="D3" s="35"/>
      <x:c r="E3" s="35"/>
      <x:c r="F3" s="35"/>
      <x:c r="G3" s="35"/>
    </x:row>
    <x:row r="4">
      <x:c r="A4" s="119" t="str">
        <x:v>Raw low-score outliers</x:v>
      </x:c>
      <x:c r="B4" s="35" t="str">
        <x:v>Nova ≈ 0.29; Mengsk ≈ 0.31; Vorazun ≈ 0.41; Zagara ≈ 0.46; Stukov ≈ 0.52; Zeratul ≈ 0.72.</x:v>
      </x:c>
      <x:c r="C4" s="35"/>
      <x:c r="D4" s="35"/>
      <x:c r="E4" s="35"/>
      <x:c r="F4" s="35"/>
      <x:c r="G4" s="35"/>
    </x:row>
    <x:row r="5">
      <x:c r="A5" s="119" t="str">
        <x:v>Raw high-score outliers</x:v>
      </x:c>
      <x:c r="B5" s="35" t="str">
        <x:v>None in this representative sample under the base-state V3.1 scan. The model is more prone to under-valuing commander mechanics than over-valuing them.</x:v>
      </x:c>
      <x:c r="C5" s="35"/>
      <x:c r="D5" s="35"/>
      <x:c r="E5" s="35"/>
      <x:c r="F5" s="35"/>
      <x:c r="G5" s="35"/>
    </x:row>
    <x:row r="7">
      <x:c r="A7" s="114" t="str">
        <x:v>Commander</x:v>
      </x:c>
      <x:c r="B7" s="114" t="str">
        <x:v>Representative Unit</x:v>
      </x:c>
      <x:c r="C7" s="114" t="str">
        <x:v>Pre-Sim Score</x:v>
      </x:c>
      <x:c r="D7" s="114" t="str">
        <x:v>Coverage</x:v>
      </x:c>
      <x:c r="E7" s="114" t="str">
        <x:v>Why it deviates</x:v>
      </x:c>
      <x:c r="F7" s="114" t="str">
        <x:v>Model action</x:v>
      </x:c>
      <x:c r="G7" s="114" t="str">
        <x:v>Source</x:v>
      </x:c>
      <x:c r="I7" s="113" t="str">
        <x:v>Commander</x:v>
      </x:c>
      <x:c r="J7" s="113" t="str">
        <x:v>Score</x:v>
      </x:c>
    </x:row>
    <x:row r="8">
      <x:c r="A8" s="35" t="str">
        <x:v>Nova</x:v>
      </x:c>
      <x:c r="B8" s="35" t="str">
        <x:v>Elite Marine</x:v>
      </x:c>
      <x:c r="C8" s="79" t="n">
        <x:v>0.2903893045164866</x:v>
      </x:c>
      <x:c r="D8" s="35" t="str">
        <x:v>LOW</x:v>
      </x:c>
      <x:c r="E8" s="35" t="str">
        <x:v>300s charge cooldown is treated like ordinary build time; elite mechanics omitted.</x:v>
      </x:c>
      <x:c r="F8" s="35" t="str">
        <x:v>Create charge-production model; do not change stats based on this score.</x:v>
      </x:c>
      <x:c r="G8" s="35" t="str">
        <x:v>https://starcraft2coop.com/commanders/nova</x:v>
      </x:c>
      <x:c r="I8" t="str">
        <x:v>Nova</x:v>
      </x:c>
      <x:c r="J8" s="101" t="n">
        <x:v>0.2903893045164866</x:v>
      </x:c>
    </x:row>
    <x:row r="9">
      <x:c r="A9" s="35" t="str">
        <x:v>Mengsk</x:v>
      </x:c>
      <x:c r="B9" s="35" t="str">
        <x:v>Aegis Guard</x:v>
      </x:c>
      <x:c r="C9" s="79" t="n">
        <x:v>0.3140160749928714</x:v>
      </x:c>
      <x:c r="D9" s="35" t="str">
        <x:v>LOW</x:v>
      </x:c>
      <x:c r="E9" s="35" t="str">
        <x:v>Base state is expensive; rank progression and rank-3 stim radically alter DPS/survivability.</x:v>
      </x:c>
      <x:c r="F9" s="35" t="str">
        <x:v>Model rank states R0/R1/R2/R3 separately; evaluate time-weighted marginal value.</x:v>
      </x:c>
      <x:c r="G9" s="35" t="str">
        <x:v>https://starcraft2coop.com/commanders/mengsk</x:v>
      </x:c>
      <x:c r="I9" t="str">
        <x:v>Mengsk</x:v>
      </x:c>
      <x:c r="J9" s="101" t="n">
        <x:v>0.3140160749928714</x:v>
      </x:c>
    </x:row>
    <x:row r="10">
      <x:c r="A10" s="35" t="str">
        <x:v>Vorazun</x:v>
      </x:c>
      <x:c r="B10" s="35" t="str">
        <x:v>Dark Templar</x:v>
      </x:c>
      <x:c r="C10" s="79" t="n">
        <x:v>0.4110319660140577</x:v>
      </x:c>
      <x:c r="D10" s="35" t="str">
        <x:v>LOW</x:v>
      </x:c>
      <x:c r="E10" s="35" t="str">
        <x:v>Permanent cloak/Shadow Fury omitted; discrete assassination value is not captured by static DPS.</x:v>
      </x:c>
      <x:c r="F10" s="35" t="str">
        <x:v>Add stealth/assassin scenario set and detection counterplay.</x:v>
      </x:c>
      <x:c r="G10" s="35" t="str">
        <x:v>https://starcraft2coop.com/commanders/vorazun</x:v>
      </x:c>
      <x:c r="I10" t="str">
        <x:v>Vorazun</x:v>
      </x:c>
      <x:c r="J10" s="101" t="n">
        <x:v>0.4110319660140577</x:v>
      </x:c>
    </x:row>
    <x:row r="11">
      <x:c r="A11" s="35" t="str">
        <x:v>Zagara</x:v>
      </x:c>
      <x:c r="B11" s="35" t="str">
        <x:v>Baneling</x:v>
      </x:c>
      <x:c r="C11" s="79" t="n">
        <x:v>0.4573721618459498</x:v>
      </x:c>
      <x:c r="D11" s="35" t="str">
        <x:v>LOW</x:v>
      </x:c>
      <x:c r="E11" s="35" t="str">
        <x:v>Suicide burst cannot be represented by steady-state DPS.</x:v>
      </x:c>
      <x:c r="F11" s="35" t="str">
        <x:v>Add one-shot burst/AOE scenario and target-count distribution.</x:v>
      </x:c>
      <x:c r="G11" s="35" t="str">
        <x:v>https://starcraft2coop.com/commanders/zagara</x:v>
      </x:c>
      <x:c r="I11" t="str">
        <x:v>Zagara</x:v>
      </x:c>
      <x:c r="J11" s="101" t="n">
        <x:v>0.4573721618459498</x:v>
      </x:c>
    </x:row>
    <x:row r="12">
      <x:c r="A12" s="35" t="str">
        <x:v>Stukov</x:v>
      </x:c>
      <x:c r="B12" s="35" t="str">
        <x:v>Infested Diamondback</x:v>
      </x:c>
      <x:c r="C12" s="79" t="n">
        <x:v>0.5164555559786617</x:v>
      </x:c>
      <x:c r="D12" s="35" t="str">
        <x:v>MEDIUM</x:v>
      </x:c>
      <x:c r="E12" s="35" t="str">
        <x:v>Attack-while-moving, snare and armored profile are not represented well by static score.</x:v>
      </x:c>
      <x:c r="F12" s="35" t="str">
        <x:v>Add kiting/retreat and armored-target scenarios before judging cost.</x:v>
      </x:c>
      <x:c r="G12" s="35" t="str">
        <x:v>https://starcraft2coop.com/commanders/stukov</x:v>
      </x:c>
      <x:c r="I12" t="str">
        <x:v>Stukov</x:v>
      </x:c>
      <x:c r="J12" s="101" t="n">
        <x:v>0.5164555559786617</x:v>
      </x:c>
    </x:row>
    <x:row r="13">
      <x:c r="A13" s="35" t="str">
        <x:v>Zeratul</x:v>
      </x:c>
      <x:c r="B13" s="35" t="str">
        <x:v>Xel'Naga Ambusher</x:v>
      </x:c>
      <x:c r="C13" s="79" t="n">
        <x:v>0.7156271246098129</x:v>
      </x:c>
      <x:c r="D13" s="35" t="str">
        <x:v>LOW</x:v>
      </x:c>
      <x:c r="E13" s="35" t="str">
        <x:v>Predictive Blink and relic progression are major omitted value layers.</x:v>
      </x:c>
      <x:c r="F13" s="35" t="str">
        <x:v>Evaluate tactical blink and tech-state progression separately.</x:v>
      </x:c>
      <x:c r="G13" s="35" t="str">
        <x:v>https://starcraft2coop.com/commanders/zeratul</x:v>
      </x:c>
      <x:c r="I13" t="str">
        <x:v>Zeratul</x:v>
      </x:c>
      <x:c r="J13" s="101" t="n">
        <x:v>0.7156271246098129</x:v>
      </x:c>
    </x:row>
    <x:row r="14">
      <x:c r="A14" s="35" t="str">
        <x:v>Karax</x:v>
      </x:c>
      <x:c r="B14" s="35" t="str">
        <x:v>Colossus</x:v>
      </x:c>
      <x:c r="C14" s="79" t="n">
        <x:v>0.708660522603202</x:v>
      </x:c>
      <x:c r="D14" s="35" t="str">
        <x:v>MEDIUM</x:v>
      </x:c>
      <x:c r="E14" s="35" t="str">
        <x:v>30% cost surcharge plus beam/fire upgrades creates strategic value outside static snapshot.</x:v>
      </x:c>
      <x:c r="F14" s="35" t="str">
        <x:v>Separate cost surcharge, upgrade state and sustained AOE scenario.</x:v>
      </x:c>
      <x:c r="G14" s="35" t="str">
        <x:v>https://starcraft2coop.com/commanders/karax</x:v>
      </x:c>
      <x:c r="I14" t="str">
        <x:v>Karax</x:v>
      </x:c>
      <x:c r="J14" s="101" t="n">
        <x:v>0.708660522603202</x:v>
      </x:c>
    </x:row>
    <x:row r="15">
      <x:c r="A15" s="35" t="str">
        <x:v>Fenix</x:v>
      </x:c>
      <x:c r="B15" s="35" t="str">
        <x:v>Legionnaire</x:v>
      </x:c>
      <x:c r="C15" s="79" t="n">
        <x:v>0.8359074809753342</x:v>
      </x:c>
      <x:c r="D15" s="35" t="str">
        <x:v>MEDIUM</x:v>
      </x:c>
      <x:c r="E15" s="35" t="str">
        <x:v>Higher EHP/DPS but also 3 supply and slower build; raw score says below band, not necessarily weak.</x:v>
      </x:c>
      <x:c r="F15" s="35" t="str">
        <x:v>Run frontline density and Charge-contact simulations.</x:v>
      </x:c>
      <x:c r="G15" s="35" t="str">
        <x:v>https://starcraft2coop.com/commanders/fenix</x:v>
      </x:c>
      <x:c r="I15" t="str">
        <x:v>Fenix</x:v>
      </x:c>
      <x:c r="J15" s="101" t="n">
        <x:v>0.8359074809753342</x:v>
      </x:c>
    </x:row>
    <x:row r="16">
      <x:c r="A16" s="35" t="str">
        <x:v>Swann</x:v>
      </x:c>
      <x:c r="B16" s="35" t="str">
        <x:v>Goliath</x:v>
      </x:c>
      <x:c r="C16" s="79" t="n">
        <x:v>0.8467376380105306</x:v>
      </x:c>
      <x:c r="D16" s="35" t="str">
        <x:v>MEDIUM</x:v>
      </x:c>
      <x:c r="E16" s="35" t="str">
        <x:v>Dual ground/air weapon package is poorly summarized by a single ground-DPS anchor.</x:v>
      </x:c>
      <x:c r="F16" s="35" t="str">
        <x:v>Use separate AA/AG scenarios and target distribution.</x:v>
      </x:c>
      <x:c r="G16" s="35" t="str">
        <x:v>https://starcraft2coop.com/commanders/swann</x:v>
      </x:c>
      <x:c r="I16" t="str">
        <x:v>Swann</x:v>
      </x:c>
      <x:c r="J16" s="101" t="n">
        <x:v>0.8467376380105306</x:v>
      </x:c>
    </x:row>
    <x:row r="17">
      <x:c r="A17" s="35" t="str">
        <x:v>Dehaka</x:v>
      </x:c>
      <x:c r="B17" s="35" t="str">
        <x:v>Primal Hydralisk</x:v>
      </x:c>
      <x:c r="C17" s="79" t="n">
        <x:v>0.8758660130718955</x:v>
      </x:c>
      <x:c r="D17" s="35" t="str">
        <x:v>MEDIUM</x:v>
      </x:c>
      <x:c r="E17" s="35" t="str">
        <x:v>Lower raw stats but morph tree changes timing and role.</x:v>
      </x:c>
      <x:c r="F17" s="35" t="str">
        <x:v>Evaluate pre/post-morph marginal value.</x:v>
      </x:c>
      <x:c r="G17" s="35" t="str">
        <x:v>https://starcraft2coop.com/commanders/dehaka</x:v>
      </x:c>
      <x:c r="I17" t="str">
        <x:v>Dehaka</x:v>
      </x:c>
      <x:c r="J17" s="101" t="n">
        <x:v>0.8758660130718955</x:v>
      </x:c>
    </x:row>
    <x:row r="18">
      <x:c r="A18" s="35" t="str">
        <x:v>Stetmann</x:v>
      </x:c>
      <x:c r="B18" s="35" t="str">
        <x:v>Mecha Hydralisk</x:v>
      </x:c>
      <x:c r="C18" s="79" t="n">
        <x:v>0.8679738562091502</x:v>
      </x:c>
      <x:c r="D18" s="35" t="str">
        <x:v>MEDIUM</x:v>
      </x:c>
      <x:c r="E18" s="35" t="str">
        <x:v>Egonergy effects and temporary attack-speed windows omitted.</x:v>
      </x:c>
      <x:c r="F18" s="35" t="str">
        <x:v>Add energy/uptime scenario instead of changing base DPS.</x:v>
      </x:c>
      <x:c r="G18" s="35" t="str">
        <x:v>https://starcraft2coop.com/commanders/stetmann</x:v>
      </x:c>
      <x:c r="I18" t="str">
        <x:v>Stetmann</x:v>
      </x:c>
      <x:c r="J18" s="101" t="n">
        <x:v>0.8679738562091502</x:v>
      </x:c>
    </x:row>
  </x:sheetData>
  <x:mergeCells>
    <x:mergeCell ref="A1:G1"/>
    <x:mergeCell ref="B2:G2"/>
    <x:mergeCell ref="B3:G3"/>
    <x:mergeCell ref="B4:G4"/>
    <x:mergeCell ref="B5:G5"/>
  </x:mergeCells>
  <x:pageMargins left="0.7" right="0.7" top="0.75" bottom="0.75" header="0.3" footer="0.3"/>
  <x:drawing xmlns:r="http://schemas.openxmlformats.org/officeDocument/2006/relationships" r:id="R9b5f9b7ddf804f75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2" hidden="0" customWidth="1"/>
    <x:col min="5" max="5" width="12" hidden="0" customWidth="1"/>
    <x:col min="6" max="6" width="16" hidden="0" customWidth="1"/>
  </x:cols>
  <x:sheetData>
    <x:row r="1">
      <x:c r="A1" s="111" t="str">
        <x:v>Commander Screening Conclusions — 2026-08-12</x:v>
      </x:c>
      <x:c r="B1" s="111"/>
      <x:c r="C1" s="111"/>
      <x:c r="D1" s="111"/>
      <x:c r="E1" s="111"/>
      <x:c r="F1" s="111"/>
    </x:row>
    <x:row r="2">
      <x:c r="A2" t="str">
        <x:v>Scope</x:v>
      </x:c>
      <x:c r="B2" t="str">
        <x:v>18 official SC2 Co-op commanders, one representative combat unit each. This is a model-validation exercise, not a claim that the commander roster is balanced/unbalanced.</x:v>
      </x:c>
      <x:c r="C2"/>
      <x:c r="D2"/>
      <x:c r="E2"/>
      <x:c r="F2"/>
    </x:row>
    <x:row r="3">
      <x:c r="A3" s="114" t="str">
        <x:v>Finding</x:v>
      </x:c>
      <x:c r="B3" s="114" t="str">
        <x:v>Evidence from scan</x:v>
      </x:c>
      <x:c r="C3" s="114" t="str">
        <x:v>Interpretation</x:v>
      </x:c>
      <x:c r="D3" s="114" t="str">
        <x:v>Next model change</x:v>
      </x:c>
      <x:c r="E3" s="114" t="str">
        <x:v>Priority</x:v>
      </x:c>
      <x:c r="F3" s="114" t="str">
        <x:v>Status</x:v>
      </x:c>
    </x:row>
    <x:row r="4">
      <x:c r="A4" s="35" t="str">
        <x:v>No clean high outliers</x:v>
      </x:c>
      <x:c r="B4" s="35" t="str">
        <x:v>No unit exceeds its role band in the base-state scan.</x:v>
      </x:c>
      <x:c r="C4" s="35" t="str">
        <x:v>The corrected static model is conservative toward specialized commander mechanics.</x:v>
      </x:c>
      <x:c r="D4" s="35" t="str">
        <x:v>Do not broaden static weights; improve scenario/skill modeling.</x:v>
      </x:c>
      <x:c r="E4" s="35" t="str">
        <x:v>HIGH</x:v>
      </x:c>
      <x:c r="F4" s="35" t="str">
        <x:v>Observed</x:v>
      </x:c>
    </x:row>
    <x:row r="5">
      <x:c r="A5" s="35" t="str">
        <x:v>Many large low outliers</x:v>
      </x:c>
      <x:c r="B5" s="35" t="str">
        <x:v>Nova, Mengsk, Vorazun, Zagara, Stukov and Zeratul fall far below band.</x:v>
      </x:c>
      <x:c r="C5" s="35" t="str">
        <x:v>These are not credible “buff candidates” because their defining value is omitted or mis-modeled.</x:v>
      </x:c>
      <x:c r="D5" s="35" t="str">
        <x:v>Treat score as pre-sim anomaly; never auto-apply recommendation.</x:v>
      </x:c>
      <x:c r="E5" s="35" t="str">
        <x:v>CRITICAL</x:v>
      </x:c>
      <x:c r="F5" s="35" t="str">
        <x:v>Observed</x:v>
      </x:c>
    </x:row>
    <x:row r="6">
      <x:c r="A6" s="35" t="str">
        <x:v>Charge production is a modeling mismatch</x:v>
      </x:c>
      <x:c r="B6" s="35" t="str">
        <x:v>Nova is penalized by a very large cost ratio because a 300s charge is treated like serial build time.</x:v>
      </x:c>
      <x:c r="C6" s="35" t="str">
        <x:v>Commander charge cooldown is a throughput system, not normal unit build time.</x:v>
      </x:c>
      <x:c r="D6" s="35" t="str">
        <x:v>Add ProductionType = Continuous / Charge / MultiSpawn / Hero.</x:v>
      </x:c>
      <x:c r="E6" s="35" t="str">
        <x:v>CRITICAL</x:v>
      </x:c>
      <x:c r="F6" s="35" t="str">
        <x:v>Required</x:v>
      </x:c>
    </x:row>
    <x:row r="7">
      <x:c r="A7" s="35" t="str">
        <x:v>State progression matters</x:v>
      </x:c>
      <x:c r="B7" s="35" t="str">
        <x:v>Mengsk Aegis Guard changes radically across ranks, but the scan is one state.</x:v>
      </x:c>
      <x:c r="C7" s="35" t="str">
        <x:v>A single snapshot cannot represent rank-based power.</x:v>
      </x:c>
      <x:c r="D7" s="35" t="str">
        <x:v>Add State/Rank dimension and time-weighted MV.</x:v>
      </x:c>
      <x:c r="E7" s="35" t="str">
        <x:v>CRITICAL</x:v>
      </x:c>
      <x:c r="F7" s="35" t="str">
        <x:v>Required</x:v>
      </x:c>
    </x:row>
    <x:row r="8">
      <x:c r="A8" s="35" t="str">
        <x:v>Discrete burst / suicide needs separate value</x:v>
      </x:c>
      <x:c r="B8" s="35" t="str">
        <x:v>Zagara Baneling has no meaningful steady DPS.</x:v>
      </x:c>
      <x:c r="C8" s="35" t="str">
        <x:v>One-shot damage should be valued by expected target count and lethal conversion.</x:v>
      </x:c>
      <x:c r="D8" s="35" t="str">
        <x:v>Add BurstValue and AOE target-count scenarios.</x:v>
      </x:c>
      <x:c r="E8" s="35" t="str">
        <x:v>HIGH</x:v>
      </x:c>
      <x:c r="F8" s="35" t="str">
        <x:v>Required</x:v>
      </x:c>
    </x:row>
    <x:row r="9">
      <x:c r="A9" s="35" t="str">
        <x:v>Hero / capital air need their own anchors</x:v>
      </x:c>
      <x:c r="B9" s="35" t="str">
        <x:v>Tychus Nux and Horner Sovereign BC are unsupported in current anchor set.</x:v>
      </x:c>
      <x:c r="C9" s="35" t="str">
        <x:v>Do not force them into Marine/Colossus benchmarks.</x:v>
      </x:c>
      <x:c r="D9" s="35" t="str">
        <x:v>Add Hero/Outlaw and Air Capital archetypes before scoring.</x:v>
      </x:c>
      <x:c r="E9" s="35" t="str">
        <x:v>HIGH</x:v>
      </x:c>
      <x:c r="F9" s="35" t="str">
        <x:v>Required</x:v>
      </x:c>
    </x:row>
    <x:row r="10">
      <x:c r="A10" s="35" t="str">
        <x:v>Conventional units sanity-check the model</x:v>
      </x:c>
      <x:c r="B10" s="35" t="str">
        <x:v>Artanis Dragoon ≈1.03, Abathur Roach ≈1.00, Raynor Marine ≈0.95, Alarak Slayer ≈0.93.</x:v>
      </x:c>
      <x:c r="C10" s="35" t="str">
        <x:v>EHP and single-layer Role/Skill placement are directionally sane for conventional units.</x:v>
      </x:c>
      <x:c r="D10" s="35" t="str">
        <x:v>Keep current static model as base layer.</x:v>
      </x:c>
      <x:c r="E10" s="35" t="str">
        <x:v>MEDIUM</x:v>
      </x:c>
      <x:c r="F10" s="35" t="str">
        <x:v>Validated</x:v>
      </x:c>
    </x:row>
  </x:sheetData>
  <x:mergeCells>
    <x:mergeCell ref="A1:F1"/>
    <x:mergeCell ref="B2:F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34" t="str">
        <x:v>V3.2 — Special-Mechanic / State-Aware Validation Layer</x:v>
      </x:c>
      <x:c r="B1" s="134"/>
      <x:c r="C1" s="134"/>
      <x:c r="D1" s="134"/>
      <x:c r="E1" s="134"/>
      <x:c r="F1" s="134"/>
    </x:row>
    <x:row r="2">
      <x:c r="A2" s="35"/>
      <x:c r="B2" s="35"/>
      <x:c r="C2" s="35"/>
      <x:c r="D2" s="35"/>
      <x:c r="E2" s="35"/>
      <x:c r="F2" s="35"/>
    </x:row>
    <x:row r="3">
      <x:c r="A3" s="130" t="str">
        <x:v>Purpose</x:v>
      </x:c>
      <x:c r="B3" s="133" t="str">
        <x:v>Upgrade V3.1 so six known failure cases are evaluated in the correct model class instead of being forced through a generic DPS/Cost screen.</x:v>
      </x:c>
      <x:c r="C3" s="35"/>
      <x:c r="D3" s="35"/>
      <x:c r="E3" s="35"/>
      <x:c r="F3" s="35"/>
    </x:row>
    <x:row r="4">
      <x:c r="A4" s="130" t="str">
        <x:v>Core rule</x:v>
      </x:c>
      <x:c r="B4" s="133" t="str">
        <x:v>Base static score is a screening layer only. Special mechanics are not converted into arbitrary permanent score multipliers.</x:v>
      </x:c>
      <x:c r="C4" s="35"/>
      <x:c r="D4" s="35"/>
      <x:c r="E4" s="35"/>
      <x:c r="F4" s="35"/>
    </x:row>
    <x:row r="5">
      <x:c r="A5" s="130" t="str">
        <x:v>Production types</x:v>
      </x:c>
      <x:c r="B5" s="133" t="str">
        <x:v>Continuous / Charge / Multi-spawn / Hero. Charge cooldown is not treated as ordinary unit build time.</x:v>
      </x:c>
      <x:c r="C5" s="35"/>
      <x:c r="D5" s="35"/>
      <x:c r="E5" s="35"/>
      <x:c r="F5" s="35"/>
    </x:row>
    <x:row r="6">
      <x:c r="A6" s="130" t="str">
        <x:v>State models</x:v>
      </x:c>
      <x:c r="B6" s="133" t="str">
        <x:v>Base / Rank / Upgrade / Veterancy. Evaluate meaningful states separately or probability-weight them from telemetry.</x:v>
      </x:c>
      <x:c r="C6" s="35"/>
      <x:c r="D6" s="35"/>
      <x:c r="E6" s="35"/>
      <x:c r="F6" s="35"/>
    </x:row>
    <x:row r="7">
      <x:c r="A7" s="130" t="str">
        <x:v>Combat models</x:v>
      </x:c>
      <x:c r="B7" s="133" t="str">
        <x:v>Continuous DPS / Burst / Suicide-AOE / Assassin / Kiting / Mobility-Blink.</x:v>
      </x:c>
      <x:c r="C7" s="35"/>
      <x:c r="D7" s="35"/>
      <x:c r="E7" s="35"/>
      <x:c r="F7" s="35"/>
    </x:row>
    <x:row r="8">
      <x:c r="A8" s="130" t="str">
        <x:v>Evidence rule</x:v>
      </x:c>
      <x:c r="B8" s="133" t="str">
        <x:v>Proxy factors are hypotheses for pre-simulation tests, never automatic balance recommendations.</x:v>
      </x:c>
      <x:c r="C8" s="35"/>
      <x:c r="D8" s="35"/>
      <x:c r="E8" s="35"/>
      <x:c r="F8" s="35"/>
    </x:row>
    <x:row r="9">
      <x:c r="A9" s="130" t="str">
        <x:v>Six validation cases</x:v>
      </x:c>
      <x:c r="B9" s="133" t="str">
        <x:v>Nova Elite Marine; Mengsk Aegis Guard; Zagara Baneling; Vorazun Dark Templar; Stukov Infested Diamondback; Zeratul Xel'Naga Ambusher.</x:v>
      </x:c>
      <x:c r="C9" s="35"/>
      <x:c r="D9" s="35"/>
      <x:c r="E9" s="35"/>
      <x:c r="F9" s="35"/>
    </x:row>
    <x:row r="10">
      <x:c r="A10" s="130" t="str">
        <x:v>Frozen baseline</x:v>
      </x:c>
      <x:c r="B10" s="133" t="str">
        <x:v>LOTV-style multiplayer anchor data remain in V31_Benchmark; Co-op rows are separate validation cases.</x:v>
      </x:c>
      <x:c r="C10" s="35"/>
      <x:c r="D10" s="35"/>
      <x:c r="E10" s="35"/>
      <x:c r="F10" s="35"/>
    </x:row>
    <x:row r="11">
      <x:c r="A11" s="130" t="str">
        <x:v>Calibration gap</x:v>
      </x:c>
      <x:c r="B11" s="133" t="str">
        <x:v>Scenario and mechanic factors remain UNVALIDATED until deterministic combat simulation or replay telemetry is available.</x:v>
      </x:c>
      <x:c r="C11" s="35"/>
      <x:c r="D11" s="35"/>
      <x:c r="E11" s="35"/>
      <x:c r="F11" s="35"/>
    </x:row>
    <x:row r="12">
      <x:c r="A12" s="130" t="str">
        <x:v>Recommended use</x:v>
      </x:c>
      <x:c r="B12" s="133" t="str">
        <x:v>Use V32 to choose what must be simulated, then use measured outcomes to replace proxies.</x:v>
      </x:c>
      <x:c r="C12" s="35"/>
      <x:c r="D12" s="35"/>
      <x:c r="E12" s="35"/>
      <x:c r="F12" s="35"/>
    </x:row>
    <x:row r="13">
      <x:c r="A13" s="35"/>
      <x:c r="B13" s="35"/>
      <x:c r="C13" s="35"/>
      <x:c r="D13" s="35"/>
      <x:c r="E13" s="35"/>
      <x:c r="F13" s="35"/>
    </x:row>
    <x:row r="14">
      <x:c r="A14" s="35"/>
      <x:c r="B14" s="35"/>
      <x:c r="C14" s="35"/>
      <x:c r="D14" s="35"/>
      <x:c r="E14" s="35"/>
      <x:c r="F14" s="35"/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4" hidden="0" customWidth="1"/>
    <x:col min="5" max="5" width="34" hidden="0" customWidth="1"/>
    <x:col min="6" max="6" width="28" hidden="0" customWidth="1"/>
    <x:col min="7" max="7" width="20" hidden="0" customWidth="1"/>
  </x:cols>
  <x:sheetData>
    <x:row r="1">
      <x:c r="A1" s="125" t="str">
        <x:v>V3.2 Model Classes — choose the correct layer before scoring</x:v>
      </x:c>
      <x:c r="B1" s="125"/>
      <x:c r="C1" s="125"/>
      <x:c r="D1" s="125"/>
      <x:c r="E1" s="125"/>
      <x:c r="F1" s="125"/>
      <x:c r="G1" s="125"/>
    </x:row>
    <x:row r="3">
      <x:c r="A3" s="130" t="str">
        <x:v>Class</x:v>
      </x:c>
      <x:c r="B3" s="130" t="str">
        <x:v>Use when</x:v>
      </x:c>
      <x:c r="C3" s="130" t="str">
        <x:v>Do NOT do</x:v>
      </x:c>
      <x:c r="D3" s="130" t="str">
        <x:v>Primary metric</x:v>
      </x:c>
      <x:c r="E3" s="130" t="str">
        <x:v>Secondary metric</x:v>
      </x:c>
      <x:c r="F3" s="130" t="str">
        <x:v>Example</x:v>
      </x:c>
      <x:c r="G3" s="130" t="str">
        <x:v>Status</x:v>
      </x:c>
    </x:row>
    <x:row r="4">
      <x:c r="A4" s="137" t="str">
        <x:v>Continuous DPS</x:v>
      </x:c>
      <x:c r="B4" s="35" t="str">
        <x:v>Normal sustained attackers</x:v>
      </x:c>
      <x:c r="C4" s="35" t="str">
        <x:v>Do not substitute for burst/suicide units</x:v>
      </x:c>
      <x:c r="D4" s="35" t="str">
        <x:v>Effective DPS / TTK</x:v>
      </x:c>
      <x:c r="E4" s="35" t="str">
        <x:v>Range, uptime, overkill</x:v>
      </x:c>
      <x:c r="F4" s="35" t="str">
        <x:v>Marine, Roach</x:v>
      </x:c>
      <x:c r="G4" s="35" t="str">
        <x:v>Ready for simulation</x:v>
      </x:c>
    </x:row>
    <x:row r="5">
      <x:c r="A5" s="137" t="str">
        <x:v>Burst</x:v>
      </x:c>
      <x:c r="B5" s="35" t="str">
        <x:v>High damage on cooldown or limited charges</x:v>
      </x:c>
      <x:c r="C5" s="35" t="str">
        <x:v>Do not spread burst over full fight as DPS</x:v>
      </x:c>
      <x:c r="D5" s="35" t="str">
        <x:v>Damage per cast / kill conversion</x:v>
      </x:c>
      <x:c r="E5" s="35" t="str">
        <x:v>Cooldown, reliability</x:v>
      </x:c>
      <x:c r="F5" s="35" t="str">
        <x:v>Dark Templar Shadow Fury</x:v>
      </x:c>
      <x:c r="G5" s="35" t="str">
        <x:v>Proxy only</x:v>
      </x:c>
    </x:row>
    <x:row r="6">
      <x:c r="A6" s="137" t="str">
        <x:v>Suicide-AOE</x:v>
      </x:c>
      <x:c r="B6" s="35" t="str">
        <x:v>Unit dies to deliver damage</x:v>
      </x:c>
      <x:c r="C6" s="35" t="str">
        <x:v>Do not use permanent DPS</x:v>
      </x:c>
      <x:c r="D6" s="35" t="str">
        <x:v>Damage × expected targets × lethal conversion</x:v>
      </x:c>
      <x:c r="E6" s="35" t="str">
        <x:v>Cost per detonation</x:v>
      </x:c>
      <x:c r="F6" s="35" t="str">
        <x:v>Baneling</x:v>
      </x:c>
      <x:c r="G6" s="35" t="str">
        <x:v>Proxy only</x:v>
      </x:c>
    </x:row>
    <x:row r="7">
      <x:c r="A7" s="137" t="str">
        <x:v>Assassin / Stealth</x:v>
      </x:c>
      <x:c r="B7" s="35" t="str">
        <x:v>Stealth, blink, target selection</x:v>
      </x:c>
      <x:c r="C7" s="35" t="str">
        <x:v>Do not score invisibility as flat HP</x:v>
      </x:c>
      <x:c r="D7" s="35" t="str">
        <x:v>Expected target value / survival gain</x:v>
      </x:c>
      <x:c r="E7" s="35" t="str">
        <x:v>Counterplay, vision dependency</x:v>
      </x:c>
      <x:c r="F7" s="35" t="str">
        <x:v>Dark Templar</x:v>
      </x:c>
      <x:c r="G7" s="35" t="str">
        <x:v>Proxy only</x:v>
      </x:c>
    </x:row>
    <x:row r="8">
      <x:c r="A8" s="137" t="str">
        <x:v>Kiting / Attack-Move</x:v>
      </x:c>
      <x:c r="B8" s="35" t="str">
        <x:v>Can maintain damage while retreating</x:v>
      </x:c>
      <x:c r="C8" s="35" t="str">
        <x:v>Do not use stationary DPS only</x:v>
      </x:c>
      <x:c r="D8" s="35" t="str">
        <x:v>Effective DPS during movement</x:v>
      </x:c>
      <x:c r="E8" s="35" t="str">
        <x:v>Range, slow, speed</x:v>
      </x:c>
      <x:c r="F8" s="35" t="str">
        <x:v>Infested Diamondback</x:v>
      </x:c>
      <x:c r="G8" s="35" t="str">
        <x:v>Proxy only</x:v>
      </x:c>
    </x:row>
    <x:row r="9">
      <x:c r="A9" s="137" t="str">
        <x:v>Mobility / Blink</x:v>
      </x:c>
      <x:c r="B9" s="35" t="str">
        <x:v>Blink changes engagement/retreat</x:v>
      </x:c>
      <x:c r="C9" s="35" t="str">
        <x:v>Do not add arbitrary speed points</x:v>
      </x:c>
      <x:c r="D9" s="35" t="str">
        <x:v>TTK / survival delta</x:v>
      </x:c>
      <x:c r="E9" s="35" t="str">
        <x:v>Position gain, charges</x:v>
      </x:c>
      <x:c r="F9" s="35" t="str">
        <x:v>Xel'Naga Ambusher</x:v>
      </x:c>
      <x:c r="G9" s="35" t="str">
        <x:v>Proxy only</x:v>
      </x:c>
    </x:row>
    <x:row r="10">
      <x:c r="A10" s="137" t="str">
        <x:v>Veterancy / State</x:v>
      </x:c>
      <x:c r="B10" s="35" t="str">
        <x:v>Power changes by rank</x:v>
      </x:c>
      <x:c r="C10" s="35" t="str">
        <x:v>Do not evaluate one state as all states</x:v>
      </x:c>
      <x:c r="D10" s="35" t="str">
        <x:v>State-weighted value</x:v>
      </x:c>
      <x:c r="E10" s="35" t="str">
        <x:v>Time-to-rank</x:v>
      </x:c>
      <x:c r="F10" s="35" t="str">
        <x:v>Aegis Guard</x:v>
      </x:c>
      <x:c r="G10" s="35" t="str">
        <x:v>Proxy only</x:v>
      </x:c>
    </x:row>
    <x:row r="11">
      <x:c r="A11" s="137" t="str">
        <x:v>Charge production</x:v>
      </x:c>
      <x:c r="B11" s="35" t="str">
        <x:v>Unit availability controlled by charges/cooldown</x:v>
      </x:c>
      <x:c r="C11" s="35" t="str">
        <x:v>Do not use charge cooldown as a normal build time</x:v>
      </x:c>
      <x:c r="D11" s="35" t="str">
        <x:v>Army throughput per charge cycle</x:v>
      </x:c>
      <x:c r="E11" s="35" t="str">
        <x:v>Banking/overlap</x:v>
      </x:c>
      <x:c r="F11" s="35" t="str">
        <x:v>Elite Marine</x:v>
      </x:c>
      <x:c r="G11" s="35" t="str">
        <x:v>Proxy only</x:v>
      </x:c>
    </x:row>
  </x:sheetData>
  <x:mergeCells>
    <x:mergeCell ref="A1:G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4" hidden="0" customWidth="1"/>
    <x:col min="5" max="5" width="18" hidden="0" customWidth="1"/>
    <x:col min="6" max="6" width="24" hidden="0" customWidth="1"/>
    <x:col min="7" max="7" width="18" hidden="0" customWidth="1"/>
    <x:col min="8" max="8" width="10" hidden="0" customWidth="1"/>
    <x:col min="9" max="9" width="10" hidden="0" customWidth="1"/>
    <x:col min="10" max="10" width="9" hidden="0" customWidth="1"/>
    <x:col min="11" max="11" width="12" hidden="0" customWidth="1"/>
    <x:col min="12" max="12" width="10" hidden="0" customWidth="1"/>
    <x:col min="13" max="13" width="10" hidden="0" customWidth="1"/>
    <x:col min="14" max="14" width="9" hidden="0" customWidth="1"/>
    <x:col min="15" max="15" width="12" hidden="0" customWidth="1"/>
    <x:col min="16" max="16" width="10" hidden="0" customWidth="1"/>
    <x:col min="17" max="17" width="9" hidden="0" customWidth="1"/>
    <x:col min="18" max="18" width="9" hidden="0" customWidth="1"/>
    <x:col min="19" max="19" width="18" hidden="0" customWidth="1"/>
    <x:col min="20" max="20" width="64" hidden="0" customWidth="1"/>
    <x:col min="21" max="21" width="58" hidden="0" customWidth="1"/>
    <x:col min="22" max="22" width="50" hidden="0" customWidth="1"/>
    <x:col min="23" max="23" width="16" hidden="0" customWidth="1"/>
    <x:col min="24" max="24" width="16" hidden="0" customWidth="1"/>
    <x:col min="25" max="25" width="14" hidden="0" customWidth="1"/>
    <x:col min="26" max="26" width="18" hidden="0" customWidth="1"/>
    <x:col min="27" max="27" width="22" hidden="0" customWidth="1"/>
  </x:cols>
  <x:sheetData>
    <x:row r="1">
      <x:c r="A1" s="125" t="str">
        <x:v>V3.2 Validation Cases — six failure modes</x:v>
      </x:c>
      <x:c r="B1" s="125"/>
      <x:c r="C1" s="125"/>
      <x:c r="D1" s="125"/>
      <x:c r="E1" s="125"/>
      <x:c r="F1" s="125"/>
      <x:c r="G1" s="125"/>
      <x:c r="H1" s="125"/>
      <x:c r="I1" s="125"/>
      <x:c r="J1" s="125"/>
      <x:c r="K1" s="125"/>
      <x:c r="L1" s="125"/>
      <x:c r="M1" s="125"/>
      <x:c r="N1" s="125"/>
      <x:c r="O1" s="125"/>
      <x:c r="P1" s="125"/>
      <x:c r="Q1" s="125"/>
      <x:c r="R1" s="125"/>
      <x:c r="S1" s="125"/>
      <x:c r="T1" s="125"/>
      <x:c r="U1" s="125"/>
    </x:row>
    <x:row r="3">
      <x:c r="A3" s="130" t="str">
        <x:v>Commander</x:v>
      </x:c>
      <x:c r="B3" s="130" t="str">
        <x:v>Unit</x:v>
      </x:c>
      <x:c r="C3" s="130" t="str">
        <x:v>Role</x:v>
      </x:c>
      <x:c r="D3" s="130" t="str">
        <x:v>Mechanics</x:v>
      </x:c>
      <x:c r="E3" s="130" t="str">
        <x:v>Production Type</x:v>
      </x:c>
      <x:c r="F3" s="130" t="str">
        <x:v>Combat Model</x:v>
      </x:c>
      <x:c r="G3" s="130" t="str">
        <x:v>Benchmark</x:v>
      </x:c>
      <x:c r="H3" s="130" t="str">
        <x:v>M</x:v>
      </x:c>
      <x:c r="I3" s="130" t="str">
        <x:v>G</x:v>
      </x:c>
      <x:c r="J3" s="130" t="str">
        <x:v>Supply</x:v>
      </x:c>
      <x:c r="K3" s="130" t="str">
        <x:v>Build/Charge</x:v>
      </x:c>
      <x:c r="L3" s="130" t="str">
        <x:v>HP</x:v>
      </x:c>
      <x:c r="M3" s="130" t="str">
        <x:v>Shield</x:v>
      </x:c>
      <x:c r="N3" s="130" t="str">
        <x:v>Armor</x:v>
      </x:c>
      <x:c r="O3" s="130" t="str">
        <x:v>Ground DPS</x:v>
      </x:c>
      <x:c r="P3" s="130" t="str">
        <x:v>Air DPS</x:v>
      </x:c>
      <x:c r="Q3" s="130" t="str">
        <x:v>Range</x:v>
      </x:c>
      <x:c r="R3" s="130" t="str">
        <x:v>Speed</x:v>
      </x:c>
      <x:c r="S3" s="130" t="str">
        <x:v>Coverage</x:v>
      </x:c>
      <x:c r="T3" s="130" t="str">
        <x:v>Research-derived mechanic note</x:v>
      </x:c>
      <x:c r="U3" s="130" t="str">
        <x:v>Model decision / next test</x:v>
      </x:c>
      <x:c r="V3" s="130" t="str">
        <x:v>Source URL</x:v>
      </x:c>
      <x:c r="W3" s="130" t="str">
        <x:v>Corrected EHP Ratio</x:v>
      </x:c>
      <x:c r="X3" s="130" t="str">
        <x:v>Ground DPS Ratio</x:v>
      </x:c>
      <x:c r="Y3" s="130" t="str">
        <x:v>Air DPS Ratio</x:v>
      </x:c>
      <x:c r="Z3" s="130" t="str">
        <x:v>Static Screen Index</x:v>
      </x:c>
      <x:c r="AA3" s="130" t="str">
        <x:v>Evidence Status</x:v>
      </x:c>
    </x:row>
    <x:row r="4">
      <x:c r="A4" s="35" t="str">
        <x:v>Nova</x:v>
      </x:c>
      <x:c r="B4" s="35" t="str">
        <x:v>Elite Marine</x:v>
      </x:c>
      <x:c r="C4" s="35" t="str">
        <x:v>General DPS</x:v>
      </x:c>
      <x:c r="D4" s="35" t="str">
        <x:v>Charge production; stim</x:v>
      </x:c>
      <x:c r="E4" s="35" t="str">
        <x:v>Charge</x:v>
      </x:c>
      <x:c r="F4" s="35" t="str">
        <x:v>Continuous + Stim</x:v>
      </x:c>
      <x:c r="G4" s="35" t="str">
        <x:v>Marine</x:v>
      </x:c>
      <x:c r="H4" s="39" t="n">
        <x:v>150</x:v>
      </x:c>
      <x:c r="I4" s="39" t="n">
        <x:v>0</x:v>
      </x:c>
      <x:c r="J4" s="39" t="n">
        <x:v>1</x:v>
      </x:c>
      <x:c r="K4" s="39" t="n">
        <x:v>300</x:v>
      </x:c>
      <x:c r="L4" s="39" t="n">
        <x:v>150</x:v>
      </x:c>
      <x:c r="M4" s="39" t="n">
        <x:v>0</x:v>
      </x:c>
      <x:c r="N4" s="39" t="n">
        <x:v>0</x:v>
      </x:c>
      <x:c r="O4" s="39" t="n">
        <x:v>10.46</x:v>
      </x:c>
      <x:c r="P4" s="39" t="n">
        <x:v>10.46</x:v>
      </x:c>
      <x:c r="Q4" s="39" t="n">
        <x:v>5</x:v>
      </x:c>
      <x:c r="R4" s="39" t="n">
        <x:v>2.25</x:v>
      </x:c>
      <x:c r="S4" s="35" t="str">
        <x:v>High</x:v>
      </x:c>
      <x:c r="T4" s="35" t="str">
        <x:v>Research note: Super Stimpack heals 2 life/s and increases attack speed and movement speed by 50% for 15s; listed cooldown 15s.</x:v>
      </x:c>
      <x:c r="U4" s="35" t="str">
        <x:v>Charge cooldown must not be priced as 300s ordinary build time</x:v>
      </x:c>
      <x:c r="V4" s="35" t="str">
        <x:v>https://starcraft2coop.com/commanders/nova</x:v>
      </x:c>
      <x:c r="W4" s="16" t="n">
        <x:f>IFERROR(((L4*IF(N4&lt;10,10/(10-N4),1))+M4)/('V31_Benchmark'!V4+'V31_Benchmark'!H4),0)</x:f>
        <x:v>3.3333333333333335</x:v>
      </x:c>
      <x:c r="X4" s="16" t="n">
        <x:f>IFERROR((O4/'V31_Benchmark'!J4),0)</x:f>
        <x:v>1.0673469387755101</x:v>
      </x:c>
      <x:c r="Y4" s="16" t="n">
        <x:f>IFERROR((P4/MAX('V31_Benchmark'!K4,0.01)),0)</x:f>
        <x:v>1.0673469387755101</x:v>
      </x:c>
      <x:c r="Z4" s="16" t="n">
        <x:f>IFERROR(0.20*W4+0.30*X4+0.05*Y4+0.10*(Q4/'V31_Benchmark'!L4)+0.10*(R4/'V31_Benchmark'!M4)+0.15+0.10,0)</x:f>
        <x:v>1.4616666666666667</x:v>
      </x:c>
      <x:c r="AA4" t="str">
        <x:f>"STRUCTURAL MODEL TEST"</x:f>
        <x:v>STRUCTURAL MODEL TEST</x:v>
      </x:c>
    </x:row>
    <x:row r="5">
      <x:c r="A5" s="35" t="str">
        <x:v>Mengsk</x:v>
      </x:c>
      <x:c r="B5" s="35" t="str">
        <x:v>Aegis Guard</x:v>
      </x:c>
      <x:c r="C5" s="35" t="str">
        <x:v>Anti-Armor / Frontline</x:v>
      </x:c>
      <x:c r="D5" s="35" t="str">
        <x:v>Veterancy + barrier + splash</x:v>
      </x:c>
      <x:c r="E5" s="35" t="str">
        <x:v>Continuous</x:v>
      </x:c>
      <x:c r="F5" s="35" t="str">
        <x:v>Veterancy / State</x:v>
      </x:c>
      <x:c r="G5" s="35" t="str">
        <x:v>Marauder</x:v>
      </x:c>
      <x:c r="H5" s="39" t="n">
        <x:v>125</x:v>
      </x:c>
      <x:c r="I5" s="39" t="n">
        <x:v>350</x:v>
      </x:c>
      <x:c r="J5" s="39" t="n">
        <x:v>4</x:v>
      </x:c>
      <x:c r="K5" s="39" t="n">
        <x:v>30</x:v>
      </x:c>
      <x:c r="L5" s="39" t="n">
        <x:v>300</x:v>
      </x:c>
      <x:c r="M5" s="39" t="n">
        <x:v>0</x:v>
      </x:c>
      <x:c r="N5" s="39" t="n">
        <x:v>1</x:v>
      </x:c>
      <x:c r="O5" s="39" t="n">
        <x:v>13.33</x:v>
      </x:c>
      <x:c r="P5" s="39" t="n">
        <x:v>13.33</x:v>
      </x:c>
      <x:c r="Q5" s="39" t="n">
        <x:v>6</x:v>
      </x:c>
      <x:c r="R5" s="39" t="n">
        <x:v>2.25</x:v>
      </x:c>
      <x:c r="S5" s="35" t="str">
        <x:v>High</x:v>
      </x:c>
      <x:c r="T5" s="35" t="str">
        <x:v>Rank1 barrier 300; Rank2 20% shrapnel; Rank3 200% attack speed for 10s/30s CD</x:v>
      </x:c>
      <x:c r="U5" s="35" t="str">
        <x:v>Need rank-state model and experience/time distribution before final score</x:v>
      </x:c>
      <x:c r="V5" s="35" t="str">
        <x:v>https://starcraft2coop.com/commanders/mengsk</x:v>
      </x:c>
      <x:c r="W5" s="16" t="n">
        <x:f>IFERROR(((L5*IF(N5&lt;10,10/(10-N5),1))+M5)/('V31_Benchmark'!V5+'V31_Benchmark'!H5),0)</x:f>
        <x:v>2.666666666666667</x:v>
      </x:c>
      <x:c r="X5" s="16" t="n">
        <x:f>IFERROR((O5/'V31_Benchmark'!J5),0)</x:f>
        <x:v>1.4333333333333331</x:v>
      </x:c>
      <x:c r="Y5" s="16" t="n">
        <x:f>IFERROR((P5/MAX('V31_Benchmark'!K5,0.01)),0)</x:f>
        <x:v>1.4333333333333331</x:v>
      </x:c>
      <x:c r="Z5" s="16" t="n">
        <x:f>IFERROR(0.20*W5+0.30*X5+0.05*Y5+0.10*(Q5/'V31_Benchmark'!L5)+0.10*(R5/'V31_Benchmark'!M5)+0.15+0.10,0)</x:f>
        <x:v>1.4564285714285716</x:v>
      </x:c>
      <x:c r="AA5" t="str">
        <x:f>"STRUCTURAL MODEL TEST"</x:f>
        <x:v>STRUCTURAL MODEL TEST</x:v>
      </x:c>
    </x:row>
    <x:row r="6">
      <x:c r="A6" s="35" t="str">
        <x:v>Zagara</x:v>
      </x:c>
      <x:c r="B6" s="35" t="str">
        <x:v>Baneling</x:v>
      </x:c>
      <x:c r="C6" s="35" t="str">
        <x:v>Suicide-AOE</x:v>
      </x:c>
      <x:c r="D6" s="35" t="str">
        <x:v>Death explosion; morph</x:v>
      </x:c>
      <x:c r="E6" s="35" t="str">
        <x:v>Multi-spawn</x:v>
      </x:c>
      <x:c r="F6" s="35" t="str">
        <x:v>Suicide-AOE</x:v>
      </x:c>
      <x:c r="G6" s="35" t="str">
        <x:v>Zergling</x:v>
      </x:c>
      <x:c r="H6" s="39" t="n">
        <x:v>22</x:v>
      </x:c>
      <x:c r="I6" s="39" t="n">
        <x:v>14</x:v>
      </x:c>
      <x:c r="J6" s="39" t="n">
        <x:v>0.5</x:v>
      </x:c>
      <x:c r="K6" s="39" t="n">
        <x:v>10</x:v>
      </x:c>
      <x:c r="L6" s="39" t="n">
        <x:v>30</x:v>
      </x:c>
      <x:c r="M6" s="39" t="n">
        <x:v>0</x:v>
      </x:c>
      <x:c r="N6" s="39" t="n">
        <x:v>0</x:v>
      </x:c>
      <x:c r="O6" s="39" t="n">
        <x:v>0</x:v>
      </x:c>
      <x:c r="P6" s="39" t="n">
        <x:v>0</x:v>
      </x:c>
      <x:c r="Q6" s="39" t="n">
        <x:v>0.1</x:v>
      </x:c>
      <x:c r="R6" s="39" t="n">
        <x:v>3.375</x:v>
      </x:c>
      <x:c r="S6" s="35" t="str">
        <x:v>High</x:v>
      </x:c>
      <x:c r="T6" s="35" t="str">
        <x:v>Baneling upgrade increases primary damage 100% and blast radius 50%; Barrage launches 6 Banelings</x:v>
      </x:c>
      <x:c r="U6" s="35" t="str">
        <x:v>Evaluate detonation value, expected targets and lethal conversion instead of sustained DPS</x:v>
      </x:c>
      <x:c r="V6" s="35" t="str">
        <x:v>https://starcraft2coop.com/commanders/zagara</x:v>
      </x:c>
      <x:c r="W6" s="16" t="n">
        <x:f>IFERROR(((L6*IF(N6&lt;10,10/(10-N6),1))+M6)/('V31_Benchmark'!V8+'V31_Benchmark'!H8),0)</x:f>
        <x:v>0.8571428571428571</x:v>
      </x:c>
      <x:c r="X6" s="16" t="n">
        <x:f>IFERROR((O6/'V31_Benchmark'!J8),0)</x:f>
        <x:v>0</x:v>
      </x:c>
      <x:c r="Y6" s="16" t="n">
        <x:f>IFERROR((P6/MAX('V31_Benchmark'!K8,0.01)),0)</x:f>
        <x:v>0</x:v>
      </x:c>
      <x:c r="Z6" s="16" t="n">
        <x:f>IFERROR(0.20*W6+0.30*X6+0.05*Y6+0.10*(Q6/'V31_Benchmark'!L8)+0.10*(R6/'V31_Benchmark'!M8)+0.15+0.10,0)</x:f>
        <x:v>0.6031476997578693</x:v>
      </x:c>
      <x:c r="AA6" t="str">
        <x:f>"STRUCTURAL MODEL TEST"</x:f>
        <x:v>STRUCTURAL MODEL TEST</x:v>
      </x:c>
    </x:row>
    <x:row r="7">
      <x:c r="A7" s="35" t="str">
        <x:v>Vorazun</x:v>
      </x:c>
      <x:c r="B7" s="35" t="str">
        <x:v>Dark Templar</x:v>
      </x:c>
      <x:c r="C7" s="35" t="str">
        <x:v>Assassin / Stealth</x:v>
      </x:c>
      <x:c r="D7" s="35" t="str">
        <x:v>Permanent cloak; Shadow Fury; Blink</x:v>
      </x:c>
      <x:c r="E7" s="35" t="str">
        <x:v>Continuous</x:v>
      </x:c>
      <x:c r="F7" s="35" t="str">
        <x:v>Burst + Assassin / Stealth</x:v>
      </x:c>
      <x:c r="G7" s="35" t="str">
        <x:v>Zealot</x:v>
      </x:c>
      <x:c r="H7" s="39" t="n">
        <x:v>125</x:v>
      </x:c>
      <x:c r="I7" s="39" t="n">
        <x:v>125</x:v>
      </x:c>
      <x:c r="J7" s="39" t="n">
        <x:v>2</x:v>
      </x:c>
      <x:c r="K7" s="39" t="n">
        <x:v>45</x:v>
      </x:c>
      <x:c r="L7" s="39" t="n">
        <x:v>40</x:v>
      </x:c>
      <x:c r="M7" s="39" t="n">
        <x:v>160</x:v>
      </x:c>
      <x:c r="N7" s="39" t="n">
        <x:v>1</x:v>
      </x:c>
      <x:c r="O7" s="39" t="n">
        <x:v>26.79</x:v>
      </x:c>
      <x:c r="P7" s="39" t="n">
        <x:v>0</x:v>
      </x:c>
      <x:c r="Q7" s="39" t="n">
        <x:v>0.1</x:v>
      </x:c>
      <x:c r="R7" s="39" t="n">
        <x:v>3.68</x:v>
      </x:c>
      <x:c r="S7" s="35" t="str">
        <x:v>High</x:v>
      </x:c>
      <x:c r="T7" s="35" t="str">
        <x:v>Shadow Fury: 20 (+15 vs Light) × 5 hits; invulnerable during duration; 15s CD; Blink 10s CD</x:v>
      </x:c>
      <x:c r="U7" s="35" t="str">
        <x:v>Base panel score underestimates burst and counterplay-sensitive stealth value</x:v>
      </x:c>
      <x:c r="V7" s="35" t="str">
        <x:v>https://starcraft2coop.com/commanders/vorazun</x:v>
      </x:c>
      <x:c r="W7" s="16" t="n">
        <x:f>IFERROR(((L7*IF(N7&lt;10,10/(10-N7),1))+M7)/('V31_Benchmark'!V6+'V31_Benchmark'!H6),0)</x:f>
        <x:v>1.0222222222222224</x:v>
      </x:c>
      <x:c r="X7" s="16" t="n">
        <x:f>IFERROR((O7/'V31_Benchmark'!J6),0)</x:f>
        <x:v>1.4403225806451612</x:v>
      </x:c>
      <x:c r="Y7" s="16" t="n">
        <x:f>IFERROR((P7/MAX('V31_Benchmark'!K6,0.01)),0)</x:f>
        <x:v>0</x:v>
      </x:c>
      <x:c r="Z7" s="16" t="n">
        <x:f>IFERROR(0.20*W7+0.30*X7+0.05*Y7+0.10*(Q7/'V31_Benchmark'!L6)+0.10*(R7/'V31_Benchmark'!M6)+0.15+0.10,0)</x:f>
        <x:v>1.1033666154633897</x:v>
      </x:c>
      <x:c r="AA7" t="str">
        <x:f>"STRUCTURAL MODEL TEST"</x:f>
        <x:v>STRUCTURAL MODEL TEST</x:v>
      </x:c>
    </x:row>
    <x:row r="8">
      <x:c r="A8" s="35" t="str">
        <x:v>Stukov</x:v>
      </x:c>
      <x:c r="B8" s="35" t="str">
        <x:v>Infested Diamondback</x:v>
      </x:c>
      <x:c r="C8" s="35" t="str">
        <x:v>Kiting / Durable Assault</x:v>
      </x:c>
      <x:c r="D8" s="35" t="str">
        <x:v>Attack while moving; Fungal Snare</x:v>
      </x:c>
      <x:c r="E8" s="35" t="str">
        <x:v>Continuous</x:v>
      </x:c>
      <x:c r="F8" s="35" t="str">
        <x:v>Kiting</x:v>
      </x:c>
      <x:c r="G8" s="35" t="str">
        <x:v>Roach</x:v>
      </x:c>
      <x:c r="H8" s="39" t="n">
        <x:v>225</x:v>
      </x:c>
      <x:c r="I8" s="39" t="n">
        <x:v>75</x:v>
      </x:c>
      <x:c r="J8" s="39" t="n">
        <x:v>3</x:v>
      </x:c>
      <x:c r="K8" s="39" t="n">
        <x:v>32</x:v>
      </x:c>
      <x:c r="L8" s="39" t="n">
        <x:v>250</x:v>
      </x:c>
      <x:c r="M8" s="39" t="n">
        <x:v>0</x:v>
      </x:c>
      <x:c r="N8" s="39" t="n">
        <x:v>1</x:v>
      </x:c>
      <x:c r="O8" s="39" t="n">
        <x:v>20</x:v>
      </x:c>
      <x:c r="P8" s="39" t="n">
        <x:v>0</x:v>
      </x:c>
      <x:c r="Q8" s="39" t="n">
        <x:v>8</x:v>
      </x:c>
      <x:c r="R8" s="39" t="n">
        <x:v>3.375</x:v>
      </x:c>
      <x:c r="S8" s="35" t="str">
        <x:v>High</x:v>
      </x:c>
      <x:c r="T8" s="35" t="str">
        <x:v>Guide explicitly recommends kiting; Fungal Snare 45s CD enables air targets to be attacked by ground units</x:v>
      </x:c>
      <x:c r="U8" s="35" t="str">
        <x:v>Need moving-combat test and target-switching/slow scenario</x:v>
      </x:c>
      <x:c r="V8" s="35" t="str">
        <x:v>https://starcraft2coop.com/commanders/stukov</x:v>
      </x:c>
      <x:c r="W8" s="16" t="n">
        <x:f>IFERROR(((L8*IF(N8&lt;10,10/(10-N8),1))+M8)/('V31_Benchmark'!V9+'V31_Benchmark'!H9),0)</x:f>
        <x:v>1.9157088122605364</x:v>
      </x:c>
      <x:c r="X8" s="16" t="n">
        <x:f>IFERROR((O8/'V31_Benchmark'!J9),0)</x:f>
        <x:v>1.7857142857142858</x:v>
      </x:c>
      <x:c r="Y8" s="16" t="n">
        <x:f>IFERROR((P8/MAX('V31_Benchmark'!K9,0.01)),0)</x:f>
        <x:v>0</x:v>
      </x:c>
      <x:c r="Z8" s="16" t="n">
        <x:f>IFERROR(0.20*W8+0.30*X8+0.05*Y8+0.10*(Q8/'V31_Benchmark'!L9)+0.10*(R8/'V31_Benchmark'!M9)+0.15+0.10,0)</x:f>
        <x:v>1.4759989053092502</x:v>
      </x:c>
      <x:c r="AA8" t="str">
        <x:f>"STRUCTURAL MODEL TEST"</x:f>
        <x:v>STRUCTURAL MODEL TEST</x:v>
      </x:c>
    </x:row>
    <x:row r="9">
      <x:c r="A9" s="35" t="str">
        <x:v>Zeratul</x:v>
      </x:c>
      <x:c r="B9" s="35" t="str">
        <x:v>Xel'Naga Ambusher</x:v>
      </x:c>
      <x:c r="C9" s="35" t="str">
        <x:v>Mobile General / AA</x:v>
      </x:c>
      <x:c r="D9" s="35" t="str">
        <x:v>Blink charges; auto safety blink; apparition</x:v>
      </x:c>
      <x:c r="E9" s="35" t="str">
        <x:v>Continuous</x:v>
      </x:c>
      <x:c r="F9" s="35" t="str">
        <x:v>Mobility / Blink</x:v>
      </x:c>
      <x:c r="G9" s="35" t="str">
        <x:v>Stalker</x:v>
      </x:c>
      <x:c r="H9" s="39" t="n">
        <x:v>300</x:v>
      </x:c>
      <x:c r="I9" s="39" t="n">
        <x:v>50</x:v>
      </x:c>
      <x:c r="J9" s="39" t="n">
        <x:v>2</x:v>
      </x:c>
      <x:c r="K9" s="39" t="n">
        <x:v>42</x:v>
      </x:c>
      <x:c r="L9" s="39" t="n">
        <x:v>100</x:v>
      </x:c>
      <x:c r="M9" s="39" t="n">
        <x:v>100</x:v>
      </x:c>
      <x:c r="N9" s="39" t="n">
        <x:v>1</x:v>
      </x:c>
      <x:c r="O9" s="39" t="n">
        <x:v>18.06</x:v>
      </x:c>
      <x:c r="P9" s="39" t="n">
        <x:v>18.06</x:v>
      </x:c>
      <x:c r="Q9" s="39" t="n">
        <x:v>6</x:v>
      </x:c>
      <x:c r="R9" s="39" t="n">
        <x:v>2.95</x:v>
      </x:c>
      <x:c r="S9" s="35" t="str">
        <x:v>High</x:v>
      </x:c>
      <x:c r="T9" s="35" t="str">
        <x:v>Vengeance leaves a Void Apparition for 50% weapon damage; Phase Battery stores 3 charges, +1 every 8s</x:v>
      </x:c>
      <x:c r="U9" s="35" t="str">
        <x:v>Need blink-cycle and survival scenario; do not treat as flat speed bonus</x:v>
      </x:c>
      <x:c r="V9" s="35" t="str">
        <x:v>https://starcraft2coop.com/commanders/zeratul</x:v>
      </x:c>
      <x:c r="W9" s="16" t="n">
        <x:f>IFERROR(((L9*IF(N9&lt;10,10/(10-N9),1))+M9)/('V31_Benchmark'!V7+'V31_Benchmark'!H7),0)</x:f>
        <x:v>0.8796296296296297</x:v>
      </x:c>
      <x:c r="X9" s="16" t="n">
        <x:f>IFERROR((O9/'V31_Benchmark'!J7),0)</x:f>
        <x:v>1.8618556701030928</x:v>
      </x:c>
      <x:c r="Y9" s="16" t="n">
        <x:f>IFERROR((P9/MAX('V31_Benchmark'!K7,0.01)),0)</x:f>
        <x:v>1.8618556701030928</x:v>
      </x:c>
      <x:c r="Z9" s="16" t="n">
        <x:f>IFERROR(0.20*W9+0.30*X9+0.05*Y9+0.10*(Q9/'V31_Benchmark'!L7)+0.10*(R9/'V31_Benchmark'!M7)+0.15+0.10,0)</x:f>
        <x:v>1.2490039818905798</x:v>
      </x:c>
      <x:c r="AA9" t="str">
        <x:f>"STRUCTURAL MODEL TEST"</x:f>
        <x:v>STRUCTURAL MODEL TEST</x:v>
      </x:c>
    </x:row>
    <x:row r="12">
      <x:c r="A12" s="133" t="str">
        <x:v>Interpretation: the Static Screen Index is deliberately not a final balance score for these six units. Nova, Mengsk, Zagara, Vorazun, Stukov and Zeratul are each used to validate a distinct model class. Final recommendations require scenario simulation or replay telemetry.</x:v>
      </x:c>
      <x:c r="B12" s="133"/>
      <x:c r="C12" s="133"/>
      <x:c r="D12" s="133"/>
      <x:c r="E12" s="133"/>
      <x:c r="F12" s="133"/>
    </x:row>
    <x:row r="13">
      <x:c r="A13" s="133"/>
      <x:c r="B13" s="133"/>
      <x:c r="C13" s="133"/>
      <x:c r="D13" s="133"/>
      <x:c r="E13" s="133"/>
      <x:c r="F13" s="133"/>
    </x:row>
    <x:row r="14">
      <x:c r="A14" s="133"/>
      <x:c r="B14" s="133"/>
      <x:c r="C14" s="133"/>
      <x:c r="D14" s="133"/>
      <x:c r="E14" s="133"/>
      <x:c r="F14" s="133"/>
    </x:row>
    <x:row r="15">
      <x:c r="A15" s="133"/>
      <x:c r="B15" s="133"/>
      <x:c r="C15" s="133"/>
      <x:c r="D15" s="133"/>
      <x:c r="E15" s="133"/>
      <x:c r="F15" s="133"/>
    </x:row>
  </x:sheetData>
  <x:mergeCells>
    <x:mergeCell ref="A1:U1"/>
    <x:mergeCell ref="A12:F15"/>
  </x:mergeCells>
  <x:conditionalFormatting sqref="Z4:Z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0" hidden="0" customWidth="1"/>
    <x:col min="4" max="4" width="22" hidden="0" customWidth="1"/>
    <x:col min="5" max="5" width="24" hidden="0" customWidth="1"/>
    <x:col min="6" max="6" width="28" hidden="0" customWidth="1"/>
    <x:col min="7" max="7" width="42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125" t="str">
        <x:v>V3.2 Scenario Library — model-specific tests, not hand-set score multipliers</x:v>
      </x:c>
      <x:c r="B1" s="125"/>
      <x:c r="C1" s="125"/>
      <x:c r="D1" s="125"/>
      <x:c r="E1" s="125"/>
      <x:c r="F1" s="125"/>
      <x:c r="G1" s="125"/>
      <x:c r="H1" s="125"/>
      <x:c r="I1" s="125"/>
      <x:c r="J1" s="125"/>
    </x:row>
    <x:row r="3">
      <x:c r="A3" s="130" t="str">
        <x:v>ID</x:v>
      </x:c>
      <x:c r="B3" s="130" t="str">
        <x:v>Scenario</x:v>
      </x:c>
      <x:c r="C3" s="130" t="str">
        <x:v>Target</x:v>
      </x:c>
      <x:c r="D3" s="130" t="str">
        <x:v>Formation / Map</x:v>
      </x:c>
      <x:c r="E3" s="130" t="str">
        <x:v>Primary Model</x:v>
      </x:c>
      <x:c r="F3" s="130" t="str">
        <x:v>Metric</x:v>
      </x:c>
      <x:c r="G3" s="130" t="str">
        <x:v>Pass Condition</x:v>
      </x:c>
      <x:c r="H3" s="130" t="str">
        <x:v>Units to Validate</x:v>
      </x:c>
      <x:c r="I3" s="130" t="str">
        <x:v>Calibration Source</x:v>
      </x:c>
      <x:c r="J3" s="130" t="str">
        <x:v>Status</x:v>
      </x:c>
    </x:row>
    <x:row r="4">
      <x:c r="A4" s="35" t="str">
        <x:v>S01</x:v>
      </x:c>
      <x:c r="B4" s="35" t="str">
        <x:v>Open field — Light mass</x:v>
      </x:c>
      <x:c r="C4" s="35" t="str">
        <x:v>Light</x:v>
      </x:c>
      <x:c r="D4" s="35" t="str">
        <x:v>Open field</x:v>
      </x:c>
      <x:c r="E4" s="35" t="str">
        <x:v>Continuous DPS</x:v>
      </x:c>
      <x:c r="F4" s="35" t="str">
        <x:v>Effective DPS over 30s</x:v>
      </x:c>
      <x:c r="G4" s="35" t="str">
        <x:v>Win rate and residual HP</x:v>
      </x:c>
      <x:c r="H4" s="35" t="str">
        <x:v>Marine / Hydralisk / Diamondback</x:v>
      </x:c>
      <x:c r="I4" s="35" t="str">
        <x:v>Simulation</x:v>
      </x:c>
      <x:c r="J4" s="35" t="str">
        <x:v>UNVALIDATED</x:v>
      </x:c>
    </x:row>
    <x:row r="5">
      <x:c r="A5" s="35" t="str">
        <x:v>S02</x:v>
      </x:c>
      <x:c r="B5" s="35" t="str">
        <x:v>Open field — Armored</x:v>
      </x:c>
      <x:c r="C5" s="35" t="str">
        <x:v>Armored</x:v>
      </x:c>
      <x:c r="D5" s="35" t="str">
        <x:v>Open field</x:v>
      </x:c>
      <x:c r="E5" s="35" t="str">
        <x:v>Target bonus</x:v>
      </x:c>
      <x:c r="F5" s="35" t="str">
        <x:v>TTK / cost traded</x:v>
      </x:c>
      <x:c r="G5" s="35" t="str">
        <x:v>Expected bonus matches target mix</x:v>
      </x:c>
      <x:c r="H5" s="35" t="str">
        <x:v>Marauder / Immortal / Aegis Guard</x:v>
      </x:c>
      <x:c r="I5" s="35" t="str">
        <x:v>Simulation</x:v>
      </x:c>
      <x:c r="J5" s="35" t="str">
        <x:v>UNVALIDATED</x:v>
      </x:c>
    </x:row>
    <x:row r="6">
      <x:c r="A6" s="35" t="str">
        <x:v>S03</x:v>
      </x:c>
      <x:c r="B6" s="35" t="str">
        <x:v>Narrow choke — melee</x:v>
      </x:c>
      <x:c r="C6" s="35" t="str">
        <x:v>Mixed</x:v>
      </x:c>
      <x:c r="D6" s="35" t="str">
        <x:v>Choke</x:v>
      </x:c>
      <x:c r="E6" s="35" t="str">
        <x:v>Formation</x:v>
      </x:c>
      <x:c r="F6" s="35" t="str">
        <x:v>Frontline + Fire utilization</x:v>
      </x:c>
      <x:c r="G6" s="35" t="str">
        <x:v>FU/FI within calibrated envelope</x:v>
      </x:c>
      <x:c r="H6" s="35" t="str">
        <x:v>Zealot / Baneling / Legionnaire</x:v>
      </x:c>
      <x:c r="I6" s="35" t="str">
        <x:v>Simulation</x:v>
      </x:c>
      <x:c r="J6" s="35" t="str">
        <x:v>UNVALIDATED</x:v>
      </x:c>
    </x:row>
    <x:row r="7">
      <x:c r="A7" s="35" t="str">
        <x:v>S04</x:v>
      </x:c>
      <x:c r="B7" s="35" t="str">
        <x:v>Narrow choke — ranged</x:v>
      </x:c>
      <x:c r="C7" s="35" t="str">
        <x:v>Mixed</x:v>
      </x:c>
      <x:c r="D7" s="35" t="str">
        <x:v>Choke</x:v>
      </x:c>
      <x:c r="E7" s="35" t="str">
        <x:v>Formation</x:v>
      </x:c>
      <x:c r="F7" s="35" t="str">
        <x:v>Fire participation</x:v>
      </x:c>
      <x:c r="G7" s="35" t="str">
        <x:v>Rear units retain expected participation</x:v>
      </x:c>
      <x:c r="H7" s="35" t="str">
        <x:v>Marine / Stalker / Hydralisk</x:v>
      </x:c>
      <x:c r="I7" s="35" t="str">
        <x:v>Simulation</x:v>
      </x:c>
      <x:c r="J7" s="35" t="str">
        <x:v>UNVALIDATED</x:v>
      </x:c>
    </x:row>
    <x:row r="8">
      <x:c r="A8" s="35" t="str">
        <x:v>S05</x:v>
      </x:c>
      <x:c r="B8" s="35" t="str">
        <x:v>AOE mass hit</x:v>
      </x:c>
      <x:c r="C8" s="35" t="str">
        <x:v>Swarm</x:v>
      </x:c>
      <x:c r="D8" s="35" t="str">
        <x:v>Choke / clump</x:v>
      </x:c>
      <x:c r="E8" s="35" t="str">
        <x:v>AOE / Suicide</x:v>
      </x:c>
      <x:c r="F8" s="35" t="str">
        <x:v>Damage per cast / detonation</x:v>
      </x:c>
      <x:c r="G8" s="35" t="str">
        <x:v>Expected targets × lethal conversion</x:v>
      </x:c>
      <x:c r="H8" s="35" t="str">
        <x:v>Baneling / Tank / Colossus</x:v>
      </x:c>
      <x:c r="I8" s="35" t="str">
        <x:v>Simulation</x:v>
      </x:c>
      <x:c r="J8" s="35" t="str">
        <x:v>UNVALIDATED</x:v>
      </x:c>
    </x:row>
    <x:row r="9">
      <x:c r="A9" s="35" t="str">
        <x:v>S06</x:v>
      </x:c>
      <x:c r="B9" s="35" t="str">
        <x:v>High-ground defense</x:v>
      </x:c>
      <x:c r="C9" s="35" t="str">
        <x:v>Mixed</x:v>
      </x:c>
      <x:c r="D9" s="35" t="str">
        <x:v>Defender high ground</x:v>
      </x:c>
      <x:c r="E9" s="35" t="str">
        <x:v>Range / terrain</x:v>
      </x:c>
      <x:c r="F9" s="35" t="str">
        <x:v>First-shot and TTK delta</x:v>
      </x:c>
      <x:c r="G9" s="35" t="str">
        <x:v>Elevation advantage captured</x:v>
      </x:c>
      <x:c r="H9" s="35" t="str">
        <x:v>Tank / Stalker / Marine</x:v>
      </x:c>
      <x:c r="I9" s="35" t="str">
        <x:v>Simulation</x:v>
      </x:c>
      <x:c r="J9" s="35" t="str">
        <x:v>UNVALIDATED</x:v>
      </x:c>
    </x:row>
    <x:row r="10">
      <x:c r="A10" s="35" t="str">
        <x:v>S07</x:v>
      </x:c>
      <x:c r="B10" s="35" t="str">
        <x:v>Kite / retreat</x:v>
      </x:c>
      <x:c r="C10" s="35" t="str">
        <x:v>Armored</x:v>
      </x:c>
      <x:c r="D10" s="35" t="str">
        <x:v>Open field</x:v>
      </x:c>
      <x:c r="E10" s="35" t="str">
        <x:v>Kiting</x:v>
      </x:c>
      <x:c r="F10" s="35" t="str">
        <x:v>Effective DPS while moving</x:v>
      </x:c>
      <x:c r="G10" s="35" t="str">
        <x:v>DPS remains above threshold while taking reduced damage</x:v>
      </x:c>
      <x:c r="H10" s="35" t="str">
        <x:v>Diamondback</x:v>
      </x:c>
      <x:c r="I10" s="35" t="str">
        <x:v>Simulation</x:v>
      </x:c>
      <x:c r="J10" s="35" t="str">
        <x:v>UNVALIDATED</x:v>
      </x:c>
    </x:row>
    <x:row r="11">
      <x:c r="A11" s="35" t="str">
        <x:v>S08</x:v>
      </x:c>
      <x:c r="B11" s="35" t="str">
        <x:v>Single elite target</x:v>
      </x:c>
      <x:c r="C11" s="35" t="str">
        <x:v>Heroic / high HP</x:v>
      </x:c>
      <x:c r="D11" s="35" t="str">
        <x:v>Open field</x:v>
      </x:c>
      <x:c r="E11" s="35" t="str">
        <x:v>Burst</x:v>
      </x:c>
      <x:c r="F11" s="35" t="str">
        <x:v>Burst-to-kill conversion</x:v>
      </x:c>
      <x:c r="G11" s="35" t="str">
        <x:v>Cooldown burst produces expected TTK reduction</x:v>
      </x:c>
      <x:c r="H11" s="35" t="str">
        <x:v>Dark Templar / Baneling</x:v>
      </x:c>
      <x:c r="I11" s="35" t="str">
        <x:v>Simulation</x:v>
      </x:c>
      <x:c r="J11" s="35" t="str">
        <x:v>UNVALIDATED</x:v>
      </x:c>
    </x:row>
    <x:row r="12">
      <x:c r="A12" s="35" t="str">
        <x:v>S09</x:v>
      </x:c>
      <x:c r="B12" s="35" t="str">
        <x:v>Stealth / detection</x:v>
      </x:c>
      <x:c r="C12" s="35" t="str">
        <x:v>Mixed</x:v>
      </x:c>
      <x:c r="D12" s="35" t="str">
        <x:v>Open field</x:v>
      </x:c>
      <x:c r="E12" s="35" t="str">
        <x:v>Assassin / Stealth</x:v>
      </x:c>
      <x:c r="F12" s="35" t="str">
        <x:v>Expected damage with detection counterplay</x:v>
      </x:c>
      <x:c r="G12" s="35" t="str">
        <x:v>Value falls when detection is present</x:v>
      </x:c>
      <x:c r="H12" s="35" t="str">
        <x:v>Dark Templar</x:v>
      </x:c>
      <x:c r="I12" s="35" t="str">
        <x:v>Simulation</x:v>
      </x:c>
      <x:c r="J12" s="35" t="str">
        <x:v>UNVALIDATED</x:v>
      </x:c>
    </x:row>
    <x:row r="13">
      <x:c r="A13" s="35" t="str">
        <x:v>S10</x:v>
      </x:c>
      <x:c r="B13" s="35" t="str">
        <x:v>Blink engage / retreat</x:v>
      </x:c>
      <x:c r="C13" s="35" t="str">
        <x:v>Mixed</x:v>
      </x:c>
      <x:c r="D13" s="35" t="str">
        <x:v>Open field / cliff</x:v>
      </x:c>
      <x:c r="E13" s="35" t="str">
        <x:v>Mobility</x:v>
      </x:c>
      <x:c r="F13" s="35" t="str">
        <x:v>Survival + position delta</x:v>
      </x:c>
      <x:c r="G13" s="35" t="str">
        <x:v>Blink creates measurable TTK/survival gain</x:v>
      </x:c>
      <x:c r="H13" s="35" t="str">
        <x:v>Ambusher / Stalker</x:v>
      </x:c>
      <x:c r="I13" s="35" t="str">
        <x:v>Simulation</x:v>
      </x:c>
      <x:c r="J13" s="35" t="str">
        <x:v>UNVALIDATED</x:v>
      </x:c>
    </x:row>
    <x:row r="14">
      <x:c r="A14" s="35" t="str">
        <x:v>S11</x:v>
      </x:c>
      <x:c r="B14" s="35" t="str">
        <x:v>Veterancy progression</x:v>
      </x:c>
      <x:c r="C14" s="35" t="str">
        <x:v>Mixed</x:v>
      </x:c>
      <x:c r="D14" s="35" t="str">
        <x:v>Time series</x:v>
      </x:c>
      <x:c r="E14" s="35" t="str">
        <x:v>State</x:v>
      </x:c>
      <x:c r="F14" s="35" t="str">
        <x:v>Time-weighted value</x:v>
      </x:c>
      <x:c r="G14" s="35" t="str">
        <x:v>State weights fit rank duration</x:v>
      </x:c>
      <x:c r="H14" s="35" t="str">
        <x:v>Aegis Guard</x:v>
      </x:c>
      <x:c r="I14" s="35" t="str">
        <x:v>Telemetry / deterministic sim</x:v>
      </x:c>
      <x:c r="J14" s="35" t="str">
        <x:v>UNVALIDATED</x:v>
      </x:c>
    </x:row>
    <x:row r="15">
      <x:c r="A15" s="35" t="str">
        <x:v>S12</x:v>
      </x:c>
      <x:c r="B15" s="35" t="str">
        <x:v>Charge production throughput</x:v>
      </x:c>
      <x:c r="C15" s="35" t="str">
        <x:v>Mixed</x:v>
      </x:c>
      <x:c r="D15" s="35" t="str">
        <x:v>Production economy</x:v>
      </x:c>
      <x:c r="E15" s="35" t="str">
        <x:v>Production</x:v>
      </x:c>
      <x:c r="F15" s="35" t="str">
        <x:v>Army value per cycle</x:v>
      </x:c>
      <x:c r="G15" s="35" t="str">
        <x:v>Charge banking and production cap handled correctly</x:v>
      </x:c>
      <x:c r="H15" s="35" t="str">
        <x:v>Elite Marine</x:v>
      </x:c>
      <x:c r="I15" s="35" t="str">
        <x:v>Simulation</x:v>
      </x:c>
      <x:c r="J15" s="35" t="str">
        <x:v>UNVALIDATED</x:v>
      </x:c>
    </x:row>
  </x:sheetData>
  <x:mergeCells>
    <x:mergeCell ref="A1:J1"/>
  </x:mergeCells>
  <x:conditionalFormatting sqref="J4:J15">
    <x:cfRule type="expression" dxfId="6" priority="1">
      <x:formula>$J4="UNVALIDATED"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58" hidden="0" customWidth="1"/>
  </x:cols>
  <x:sheetData>
    <x:row r="1">
      <x:c r="A1" s="125" t="str">
        <x:v>V3.2 Dashboard — Is the model evaluating the right mechanism?</x:v>
      </x:c>
      <x:c r="B1" s="125"/>
      <x:c r="C1" s="125"/>
      <x:c r="D1" s="125"/>
      <x:c r="E1" s="125"/>
      <x:c r="F1" s="125"/>
      <x:c r="G1" s="125"/>
      <x:c r="H1" s="125"/>
    </x:row>
    <x:row r="3">
      <x:c r="A3" s="130" t="str">
        <x:v>Validation cases</x:v>
      </x:c>
      <x:c r="B3" s="137" t="n">
        <x:v>6</x:v>
      </x:c>
    </x:row>
    <x:row r="4">
      <x:c r="A4" s="130" t="str">
        <x:v>Special model classes</x:v>
      </x:c>
      <x:c r="B4" s="137" t="n">
        <x:v>8</x:v>
      </x:c>
    </x:row>
    <x:row r="5">
      <x:c r="A5" s="130" t="str">
        <x:v>Standard scenarios</x:v>
      </x:c>
      <x:c r="B5" s="137" t="n">
        <x:v>12</x:v>
      </x:c>
    </x:row>
    <x:row r="6">
      <x:c r="A6" s="130" t="str">
        <x:v>Simulation-calibrated factors</x:v>
      </x:c>
      <x:c r="B6" s="137" t="n">
        <x:v>0</x:v>
      </x:c>
    </x:row>
    <x:row r="7">
      <x:c r="A7" s="130" t="str">
        <x:v>Automatic balance changes allowed</x:v>
      </x:c>
      <x:c r="B7" s="137" t="n">
        <x:v>0</x:v>
      </x:c>
    </x:row>
    <x:row r="8">
      <x:c r="A8" s="130" t="str">
        <x:v>Known unsupported archetypes</x:v>
      </x:c>
      <x:c r="B8" s="137" t="str">
        <x:v>Hero / Air Capital</x:v>
      </x:c>
    </x:row>
    <x:row r="11">
      <x:c r="A11" s="130" t="str">
        <x:v>Commander</x:v>
      </x:c>
      <x:c r="B11" s="130" t="str">
        <x:v>Unit</x:v>
      </x:c>
      <x:c r="C11" s="130" t="str">
        <x:v>Model Class</x:v>
      </x:c>
      <x:c r="D11" s="130" t="str">
        <x:v>Benchmark</x:v>
      </x:c>
      <x:c r="E11" s="130" t="str">
        <x:v>Static Screen Index</x:v>
      </x:c>
      <x:c r="F11" s="130" t="str">
        <x:v>Mechanic Coverage</x:v>
      </x:c>
      <x:c r="G11" s="130" t="str">
        <x:v>Next Test</x:v>
      </x:c>
      <x:c r="H11" s="130" t="str">
        <x:v>Interpretation</x:v>
      </x:c>
    </x:row>
    <x:row r="12">
      <x:c r="A12" s="35" t="str">
        <x:f>'V32_Validation'!A4</x:f>
        <x:v>Nova</x:v>
      </x:c>
      <x:c r="B12" s="35" t="str">
        <x:f>'V32_Validation'!B4</x:f>
        <x:v>Elite Marine</x:v>
      </x:c>
      <x:c r="C12" s="35" t="str">
        <x:f>'V32_Validation'!F4</x:f>
        <x:v>Continuous + Stim</x:v>
      </x:c>
      <x:c r="D12" s="35" t="str">
        <x:f>'V32_Validation'!G4</x:f>
        <x:v>Marine</x:v>
      </x:c>
      <x:c r="E12" s="35" t="n">
        <x:f>'V32_Validation'!Z4</x:f>
        <x:v>1.4616666666666667</x:v>
      </x:c>
      <x:c r="F12" s="35" t="str">
        <x:f>'V32_Validation'!S4</x:f>
        <x:v>High</x:v>
      </x:c>
      <x:c r="G12" s="35" t="str">
        <x:f>'V32_Recommendations'!E4</x:f>
        <x:v>S12: measure army value per charge cycle under banking</x:v>
      </x:c>
      <x:c r="H12" s="35" t="str">
        <x:f>'V32_Validation'!U4</x:f>
        <x:v>Charge cooldown must not be priced as 300s ordinary build time</x:v>
      </x:c>
    </x:row>
    <x:row r="13">
      <x:c r="A13" s="35" t="str">
        <x:f>'V32_Validation'!A5</x:f>
        <x:v>Mengsk</x:v>
      </x:c>
      <x:c r="B13" s="35" t="str">
        <x:f>'V32_Validation'!B5</x:f>
        <x:v>Aegis Guard</x:v>
      </x:c>
      <x:c r="C13" s="35" t="str">
        <x:f>'V32_Validation'!F5</x:f>
        <x:v>Veterancy / State</x:v>
      </x:c>
      <x:c r="D13" s="35" t="str">
        <x:f>'V32_Validation'!G5</x:f>
        <x:v>Marauder</x:v>
      </x:c>
      <x:c r="E13" s="35" t="n">
        <x:f>'V32_Validation'!Z5</x:f>
        <x:v>1.4564285714285716</x:v>
      </x:c>
      <x:c r="F13" s="35" t="str">
        <x:f>'V32_Validation'!S5</x:f>
        <x:v>High</x:v>
      </x:c>
      <x:c r="G13" s="35" t="str">
        <x:f>'V32_Recommendations'!E5</x:f>
        <x:v>S11: time-weight rank value and rank acquisition</x:v>
      </x:c>
      <x:c r="H13" s="35" t="str">
        <x:f>'V32_Validation'!U5</x:f>
        <x:v>Need rank-state model and experience/time distribution before final score</x:v>
      </x:c>
    </x:row>
    <x:row r="14">
      <x:c r="A14" s="35" t="str">
        <x:f>'V32_Validation'!A6</x:f>
        <x:v>Zagara</x:v>
      </x:c>
      <x:c r="B14" s="35" t="str">
        <x:f>'V32_Validation'!B6</x:f>
        <x:v>Baneling</x:v>
      </x:c>
      <x:c r="C14" s="35" t="str">
        <x:f>'V32_Validation'!F6</x:f>
        <x:v>Suicide-AOE</x:v>
      </x:c>
      <x:c r="D14" s="35" t="str">
        <x:f>'V32_Validation'!G6</x:f>
        <x:v>Zergling</x:v>
      </x:c>
      <x:c r="E14" s="35" t="n">
        <x:f>'V32_Validation'!Z6</x:f>
        <x:v>0.6031476997578693</x:v>
      </x:c>
      <x:c r="F14" s="35" t="str">
        <x:f>'V32_Validation'!S6</x:f>
        <x:v>High</x:v>
      </x:c>
      <x:c r="G14" s="35" t="str">
        <x:f>'V32_Recommendations'!E6</x:f>
        <x:v>S05: expected targets × damage × lethal conversion</x:v>
      </x:c>
      <x:c r="H14" s="35" t="str">
        <x:f>'V32_Validation'!U6</x:f>
        <x:v>Evaluate detonation value, expected targets and lethal conversion instead of sustained DPS</x:v>
      </x:c>
    </x:row>
    <x:row r="15">
      <x:c r="A15" s="35" t="str">
        <x:f>'V32_Validation'!A7</x:f>
        <x:v>Vorazun</x:v>
      </x:c>
      <x:c r="B15" s="35" t="str">
        <x:f>'V32_Validation'!B7</x:f>
        <x:v>Dark Templar</x:v>
      </x:c>
      <x:c r="C15" s="35" t="str">
        <x:f>'V32_Validation'!F7</x:f>
        <x:v>Burst + Assassin / Stealth</x:v>
      </x:c>
      <x:c r="D15" s="35" t="str">
        <x:f>'V32_Validation'!G7</x:f>
        <x:v>Zealot</x:v>
      </x:c>
      <x:c r="E15" s="35" t="n">
        <x:f>'V32_Validation'!Z7</x:f>
        <x:v>1.1033666154633897</x:v>
      </x:c>
      <x:c r="F15" s="35" t="str">
        <x:f>'V32_Validation'!S7</x:f>
        <x:v>High</x:v>
      </x:c>
      <x:c r="G15" s="35" t="str">
        <x:f>'V32_Recommendations'!E7</x:f>
        <x:v>S08 + S09: burst-to-kill with/without detection</x:v>
      </x:c>
      <x:c r="H15" s="35" t="str">
        <x:f>'V32_Validation'!U7</x:f>
        <x:v>Base panel score underestimates burst and counterplay-sensitive stealth value</x:v>
      </x:c>
    </x:row>
    <x:row r="16">
      <x:c r="A16" s="35" t="str">
        <x:f>'V32_Validation'!A8</x:f>
        <x:v>Stukov</x:v>
      </x:c>
      <x:c r="B16" s="35" t="str">
        <x:f>'V32_Validation'!B8</x:f>
        <x:v>Infested Diamondback</x:v>
      </x:c>
      <x:c r="C16" s="35" t="str">
        <x:f>'V32_Validation'!F8</x:f>
        <x:v>Kiting</x:v>
      </x:c>
      <x:c r="D16" s="35" t="str">
        <x:f>'V32_Validation'!G8</x:f>
        <x:v>Roach</x:v>
      </x:c>
      <x:c r="E16" s="35" t="n">
        <x:f>'V32_Validation'!Z8</x:f>
        <x:v>1.4759989053092502</x:v>
      </x:c>
      <x:c r="F16" s="35" t="str">
        <x:f>'V32_Validation'!S8</x:f>
        <x:v>High</x:v>
      </x:c>
      <x:c r="G16" s="35" t="str">
        <x:f>'V32_Recommendations'!E8</x:f>
        <x:v>S07: moving DPS and damage avoided</x:v>
      </x:c>
      <x:c r="H16" s="35" t="str">
        <x:f>'V32_Validation'!U8</x:f>
        <x:v>Need moving-combat test and target-switching/slow scenario</x:v>
      </x:c>
    </x:row>
    <x:row r="17">
      <x:c r="A17" s="35" t="str">
        <x:f>'V32_Validation'!A9</x:f>
        <x:v>Zeratul</x:v>
      </x:c>
      <x:c r="B17" s="35" t="str">
        <x:f>'V32_Validation'!B9</x:f>
        <x:v>Xel'Naga Ambusher</x:v>
      </x:c>
      <x:c r="C17" s="35" t="str">
        <x:f>'V32_Validation'!F9</x:f>
        <x:v>Mobility / Blink</x:v>
      </x:c>
      <x:c r="D17" s="35" t="str">
        <x:f>'V32_Validation'!G9</x:f>
        <x:v>Stalker</x:v>
      </x:c>
      <x:c r="E17" s="35" t="n">
        <x:f>'V32_Validation'!Z9</x:f>
        <x:v>1.2490039818905798</x:v>
      </x:c>
      <x:c r="F17" s="35" t="str">
        <x:f>'V32_Validation'!S9</x:f>
        <x:v>High</x:v>
      </x:c>
      <x:c r="G17" s="35" t="str">
        <x:f>'V32_Recommendations'!E9</x:f>
        <x:v>S10: survival and position gain per blink cycle</x:v>
      </x:c>
      <x:c r="H17" s="35" t="str">
        <x:f>'V32_Validation'!U9</x:f>
        <x:v>Need blink-cycle and survival scenario; do not treat as flat speed bonus</x:v>
      </x:c>
    </x:row>
    <x:row r="20">
      <x:c r="A20" s="133" t="str">
        <x:v>Important: a low/high Static Screen Index in this sheet is not a final balance verdict for the six validation cases. These cases intentionally contain mechanics that require separate models. Use V32_Recommendations and V32_Scenarios to choose simulations.</x:v>
      </x:c>
      <x:c r="B20" s="133"/>
      <x:c r="C20" s="133"/>
      <x:c r="D20" s="133"/>
      <x:c r="E20" s="133"/>
      <x:c r="F20" s="133"/>
      <x:c r="G20" s="133"/>
      <x:c r="H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</x:row>
  </x:sheetData>
  <x:mergeCells>
    <x:mergeCell ref="A1:H1"/>
    <x:mergeCell ref="A20:H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8" hidden="0" customWidth="1"/>
    <x:col min="5" max="5" width="50" hidden="0" customWidth="1"/>
    <x:col min="6" max="6" width="48" hidden="0" customWidth="1"/>
    <x:col min="7" max="7" width="10" hidden="0" customWidth="1"/>
    <x:col min="8" max="8" width="22" hidden="0" customWidth="1"/>
  </x:cols>
  <x:sheetData>
    <x:row r="1">
      <x:c r="A1" s="125" t="str">
        <x:v>V3.2 Recommendations — Simulation Candidates Only</x:v>
      </x:c>
      <x:c r="B1" s="125"/>
      <x:c r="C1" s="125"/>
      <x:c r="D1" s="125"/>
      <x:c r="E1" s="125"/>
      <x:c r="F1" s="125"/>
      <x:c r="G1" s="125"/>
      <x:c r="H1" s="125"/>
    </x:row>
    <x:row r="3">
      <x:c r="A3" s="130" t="str">
        <x:v>Commander</x:v>
      </x:c>
      <x:c r="B3" s="130" t="str">
        <x:v>Unit</x:v>
      </x:c>
      <x:c r="C3" s="130" t="str">
        <x:v>Observed issue</x:v>
      </x:c>
      <x:c r="D3" s="130" t="str">
        <x:v>Correct model layer</x:v>
      </x:c>
      <x:c r="E3" s="130" t="str">
        <x:v>Recommended next test</x:v>
      </x:c>
      <x:c r="F3" s="130" t="str">
        <x:v>Do NOT change from this screen</x:v>
      </x:c>
      <x:c r="G3" s="130" t="str">
        <x:v>Priority</x:v>
      </x:c>
      <x:c r="H3" s="130" t="str">
        <x:v>Status</x:v>
      </x:c>
    </x:row>
    <x:row r="4">
      <x:c r="A4" s="35" t="str">
        <x:v>Nova</x:v>
      </x:c>
      <x:c r="B4" s="35" t="str">
        <x:v>Elite Marine</x:v>
      </x:c>
      <x:c r="C4" s="35" t="str">
        <x:v>300s charge treated as ordinary build time</x:v>
      </x:c>
      <x:c r="D4" s="35" t="str">
        <x:v>Charge production</x:v>
      </x:c>
      <x:c r="E4" s="35" t="str">
        <x:v>S12: measure army value per charge cycle under banking</x:v>
      </x:c>
      <x:c r="F4" s="35" t="str">
        <x:v>Mineral cost / build time based on static screen</x:v>
      </x:c>
      <x:c r="G4" s="35" t="str">
        <x:v>P0</x:v>
      </x:c>
      <x:c r="H4" s="35" t="str">
        <x:v>PRE-SIM CANDIDATE</x:v>
      </x:c>
    </x:row>
    <x:row r="5">
      <x:c r="A5" s="35" t="str">
        <x:v>Mengsk</x:v>
      </x:c>
      <x:c r="B5" s="35" t="str">
        <x:v>Aegis Guard</x:v>
      </x:c>
      <x:c r="C5" s="35" t="str">
        <x:v>Rank 0/1/2/3 value collapsed into one row</x:v>
      </x:c>
      <x:c r="D5" s="35" t="str">
        <x:v>Veterancy / State</x:v>
      </x:c>
      <x:c r="E5" s="35" t="str">
        <x:v>S11: time-weight rank value and rank acquisition</x:v>
      </x:c>
      <x:c r="F5" s="35" t="str">
        <x:v>No direct cost change from rank 0 screen</x:v>
      </x:c>
      <x:c r="G5" s="35" t="str">
        <x:v>P0</x:v>
      </x:c>
      <x:c r="H5" s="35" t="str">
        <x:v>PRE-SIM CANDIDATE</x:v>
      </x:c>
    </x:row>
    <x:row r="6">
      <x:c r="A6" s="35" t="str">
        <x:v>Zagara</x:v>
      </x:c>
      <x:c r="B6" s="35" t="str">
        <x:v>Baneling</x:v>
      </x:c>
      <x:c r="C6" s="35" t="str">
        <x:v>DPS screen gives near-zero output because attack is discrete</x:v>
      </x:c>
      <x:c r="D6" s="35" t="str">
        <x:v>Suicide-AOE</x:v>
      </x:c>
      <x:c r="E6" s="35" t="str">
        <x:v>S05: expected targets × damage × lethal conversion</x:v>
      </x:c>
      <x:c r="F6" s="35" t="str">
        <x:v>Do not buff based on DPS/Cost</x:v>
      </x:c>
      <x:c r="G6" s="35" t="str">
        <x:v>P0</x:v>
      </x:c>
      <x:c r="H6" s="35" t="str">
        <x:v>PRE-SIM CANDIDATE</x:v>
      </x:c>
    </x:row>
    <x:row r="7">
      <x:c r="A7" s="35" t="str">
        <x:v>Vorazun</x:v>
      </x:c>
      <x:c r="B7" s="35" t="str">
        <x:v>Dark Templar</x:v>
      </x:c>
      <x:c r="C7" s="35" t="str">
        <x:v>Stealth + burst missing from static layer</x:v>
      </x:c>
      <x:c r="D7" s="35" t="str">
        <x:v>Assassin / Stealth</x:v>
      </x:c>
      <x:c r="E7" s="35" t="str">
        <x:v>S08 + S09: burst-to-kill with/without detection</x:v>
      </x:c>
      <x:c r="F7" s="35" t="str">
        <x:v>Do not reduce cost/raise stats from static score alone</x:v>
      </x:c>
      <x:c r="G7" s="35" t="str">
        <x:v>P0</x:v>
      </x:c>
      <x:c r="H7" s="35" t="str">
        <x:v>PRE-SIM CANDIDATE</x:v>
      </x:c>
    </x:row>
    <x:row r="8">
      <x:c r="A8" s="35" t="str">
        <x:v>Stukov</x:v>
      </x:c>
      <x:c r="B8" s="35" t="str">
        <x:v>Infested Diamondback</x:v>
      </x:c>
      <x:c r="C8" s="35" t="str">
        <x:v>Static screen ignores attack-while-moving / kiting</x:v>
      </x:c>
      <x:c r="D8" s="35" t="str">
        <x:v>Kiting</x:v>
      </x:c>
      <x:c r="E8" s="35" t="str">
        <x:v>S07: moving DPS and damage avoided</x:v>
      </x:c>
      <x:c r="F8" s="35" t="str">
        <x:v>Do not directly buff DPS from static score</x:v>
      </x:c>
      <x:c r="G8" s="35" t="str">
        <x:v>P1</x:v>
      </x:c>
      <x:c r="H8" s="35" t="str">
        <x:v>PRE-SIM CANDIDATE</x:v>
      </x:c>
    </x:row>
    <x:row r="9">
      <x:c r="A9" s="35" t="str">
        <x:v>Zeratul</x:v>
      </x:c>
      <x:c r="B9" s="35" t="str">
        <x:v>Xel'Naga Ambusher</x:v>
      </x:c>
      <x:c r="C9" s="35" t="str">
        <x:v>Blink charges / safe blink / apparition omitted</x:v>
      </x:c>
      <x:c r="D9" s="35" t="str">
        <x:v>Mobility / Blink</x:v>
      </x:c>
      <x:c r="E9" s="35" t="str">
        <x:v>S10: survival and position gain per blink cycle</x:v>
      </x:c>
      <x:c r="F9" s="35" t="str">
        <x:v>Do not add flat mobility points</x:v>
      </x:c>
      <x:c r="G9" s="35" t="str">
        <x:v>P1</x:v>
      </x:c>
      <x:c r="H9" s="35" t="str">
        <x:v>PRE-SIM CANDIDATE</x:v>
      </x:c>
    </x:row>
  </x:sheetData>
  <x:mergeCells>
    <x:mergeCell ref="A1:H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10" hidden="0" customWidth="1"/>
    <x:col min="8" max="8" width="14" hidden="0" customWidth="1"/>
    <x:col min="9" max="9" width="28" hidden="0" customWidth="1"/>
    <x:col min="10" max="10" width="55" hidden="0" customWidth="1"/>
  </x:cols>
  <x:sheetData>
    <x:row r="1">
      <x:c r="A1" s="150" t="str">
        <x:v>V3.3 Community Calibration — 2026 reward-to-effort reference (not a unit-balance label)</x:v>
      </x:c>
      <x:c r="B1" s="150"/>
      <x:c r="C1" s="150"/>
      <x:c r="D1" s="150"/>
      <x:c r="E1" s="150"/>
      <x:c r="F1" s="150"/>
      <x:c r="G1" s="150"/>
      <x:c r="H1" s="150"/>
      <x:c r="I1" s="150"/>
      <x:c r="J1" s="150"/>
    </x:row>
    <x:row r="3" ht="32" customHeight="1">
      <x:c r="A3" s="155" t="str">
        <x:v>Commander</x:v>
      </x:c>
      <x:c r="B3" s="155" t="str">
        <x:v>Brutation Score</x:v>
      </x:c>
      <x:c r="C3" s="155" t="str">
        <x:v>Ease Macro</x:v>
      </x:c>
      <x:c r="D3" s="155" t="str">
        <x:v>Ease Micro</x:v>
      </x:c>
      <x:c r="E3" s="155" t="str">
        <x:v>Combined Ease</x:v>
      </x:c>
      <x:c r="F3" s="155" t="str">
        <x:v>Reward-to-Effort Score</x:v>
      </x:c>
      <x:c r="G3" s="155" t="str">
        <x:v>Tier</x:v>
      </x:c>
      <x:c r="H3" s="155" t="str">
        <x:v>Community Rank</x:v>
      </x:c>
      <x:c r="I3" s="155" t="str">
        <x:v>Source</x:v>
      </x:c>
      <x:c r="J3" s="155" t="str">
        <x:v>Interpretation</x:v>
      </x:c>
      <x:c r="L3" t="str">
        <x:v>Commander</x:v>
      </x:c>
      <x:c r="M3" t="str">
        <x:v>Reward Score</x:v>
      </x:c>
    </x:row>
    <x:row r="4" ht="38" customHeight="1">
      <x:c r="A4" s="35" t="str">
        <x:v>Zeratul</x:v>
      </x:c>
      <x:c r="B4" s="35" t="n">
        <x:v>13.71</x:v>
      </x:c>
      <x:c r="C4" s="35" t="n">
        <x:v>5</x:v>
      </x:c>
      <x:c r="D4" s="35" t="n">
        <x:v>4</x:v>
      </x:c>
      <x:c r="E4" s="35" t="n">
        <x:v>9</x:v>
      </x:c>
      <x:c r="F4" s="39" t="n">
        <x:v>123.38</x:v>
      </x:c>
      <x:c r="G4" s="35" t="str">
        <x:v>S</x:v>
      </x:c>
      <x:c r="H4" s="35" t="n">
        <x:v>1</x:v>
      </x:c>
      <x:c r="I4" s="35" t="str">
        <x:v>https://www.reddit.com/r/starcraft2coop/comments/1vfmc3c/rewardtoeffort_commander_tier_list/</x:v>
      </x:c>
      <x:c r="J4" s="35" t="str">
        <x:v>Top benchmark; community evidence strongly supports high commander-level power.</x:v>
      </x:c>
      <x:c r="L4" t="str">
        <x:f>A4</x:f>
        <x:v>Zeratul</x:v>
      </x:c>
      <x:c r="M4" t="n">
        <x:f>F4</x:f>
        <x:v>123.38</x:v>
      </x:c>
    </x:row>
    <x:row r="5" ht="38" customHeight="1">
      <x:c r="A5" s="35" t="str">
        <x:v>Tychus</x:v>
      </x:c>
      <x:c r="B5" s="35" t="n">
        <x:v>11.13</x:v>
      </x:c>
      <x:c r="C5" s="35" t="n">
        <x:v>5</x:v>
      </x:c>
      <x:c r="D5" s="35" t="n">
        <x:v>4</x:v>
      </x:c>
      <x:c r="E5" s="35" t="n">
        <x:v>9</x:v>
      </x:c>
      <x:c r="F5" s="39" t="n">
        <x:v>100.13</x:v>
      </x:c>
      <x:c r="G5" s="35" t="str">
        <x:v>A</x:v>
      </x:c>
      <x:c r="H5" s="35" t="n">
        <x:v>2</x:v>
      </x:c>
      <x:c r="I5" s="35" t="str">
        <x:v>https://www.reddit.com/r/starcraft2coop/comments/1vfmc3c/rewardtoeffort_commander_tier_list/</x:v>
      </x:c>
      <x:c r="J5" s="35" t="str">
        <x:v>Hero/outlaw archetype; unsupported by current unit benchmark.</x:v>
      </x:c>
      <x:c r="L5" t="str">
        <x:f>A5</x:f>
        <x:v>Tychus</x:v>
      </x:c>
      <x:c r="M5" t="n">
        <x:f>F5</x:f>
        <x:v>100.13</x:v>
      </x:c>
    </x:row>
    <x:row r="6" ht="38" customHeight="1">
      <x:c r="A6" s="35" t="str">
        <x:v>Dehaka</x:v>
      </x:c>
      <x:c r="B6" s="35" t="n">
        <x:v>12.63</x:v>
      </x:c>
      <x:c r="C6" s="35" t="n">
        <x:v>4</x:v>
      </x:c>
      <x:c r="D6" s="35" t="n">
        <x:v>3</x:v>
      </x:c>
      <x:c r="E6" s="35" t="n">
        <x:v>7</x:v>
      </x:c>
      <x:c r="F6" s="39" t="n">
        <x:v>88.38</x:v>
      </x:c>
      <x:c r="G6" s="35" t="str">
        <x:v>A</x:v>
      </x:c>
      <x:c r="H6" s="35" t="n">
        <x:v>3</x:v>
      </x:c>
      <x:c r="I6" s="35" t="str">
        <x:v>https://www.reddit.com/r/starcraft2coop/comments/1vfmc3c/rewardtoeffort_commander_tier_list/</x:v>
      </x:c>
      <x:c r="J6" s="35" t="str">
        <x:v>High commander-level benchmark despite mediocre representative Hydralisk screen.</x:v>
      </x:c>
      <x:c r="L6" t="str">
        <x:f>A6</x:f>
        <x:v>Dehaka</x:v>
      </x:c>
      <x:c r="M6" t="n">
        <x:f>F6</x:f>
        <x:v>88.38</x:v>
      </x:c>
    </x:row>
    <x:row r="7" ht="38" customHeight="1">
      <x:c r="A7" s="35" t="str">
        <x:v>Mengsk</x:v>
      </x:c>
      <x:c r="B7" s="35" t="n">
        <x:v>13.25</x:v>
      </x:c>
      <x:c r="C7" s="35" t="n">
        <x:v>3</x:v>
      </x:c>
      <x:c r="D7" s="35" t="n">
        <x:v>3</x:v>
      </x:c>
      <x:c r="E7" s="35" t="n">
        <x:v>6</x:v>
      </x:c>
      <x:c r="F7" s="39" t="n">
        <x:v>79.5</x:v>
      </x:c>
      <x:c r="G7" s="35" t="str">
        <x:v>B</x:v>
      </x:c>
      <x:c r="H7" s="35" t="n">
        <x:v>4</x:v>
      </x:c>
      <x:c r="I7" s="35" t="str">
        <x:v>https://www.reddit.com/r/starcraft2coop/comments/1vfmc3c/rewardtoeffort_commander_tier_list/</x:v>
      </x:c>
      <x:c r="J7" s="35" t="str">
        <x:v>High power with substantial commander-system contribution.</x:v>
      </x:c>
      <x:c r="L7" t="str">
        <x:f>A7</x:f>
        <x:v>Mengsk</x:v>
      </x:c>
      <x:c r="M7" t="n">
        <x:f>F7</x:f>
        <x:v>79.5</x:v>
      </x:c>
    </x:row>
    <x:row r="8" ht="38" customHeight="1">
      <x:c r="A8" s="35" t="str">
        <x:v>Kerrigan</x:v>
      </x:c>
      <x:c r="B8" s="35" t="n">
        <x:v>10.71</x:v>
      </x:c>
      <x:c r="C8" s="35" t="n">
        <x:v>3</x:v>
      </x:c>
      <x:c r="D8" s="35" t="n">
        <x:v>4</x:v>
      </x:c>
      <x:c r="E8" s="35" t="n">
        <x:v>7</x:v>
      </x:c>
      <x:c r="F8" s="39" t="n">
        <x:v>74.96</x:v>
      </x:c>
      <x:c r="G8" s="35" t="str">
        <x:v>B</x:v>
      </x:c>
      <x:c r="H8" s="35" t="n">
        <x:v>5</x:v>
      </x:c>
      <x:c r="I8" s="35" t="str">
        <x:v>https://www.reddit.com/r/starcraft2coop/comments/1vfmc3c/rewardtoeffort_commander_tier_list/</x:v>
      </x:c>
      <x:c r="J8" s="35" t="str">
        <x:v>Hero/global mobility contribution matters beyond Hydralisk panel.</x:v>
      </x:c>
      <x:c r="L8" t="str">
        <x:f>A8</x:f>
        <x:v>Kerrigan</x:v>
      </x:c>
      <x:c r="M8" t="n">
        <x:f>F8</x:f>
        <x:v>74.96</x:v>
      </x:c>
    </x:row>
    <x:row r="9" ht="38" customHeight="1">
      <x:c r="A9" s="35" t="str">
        <x:v>Stukov</x:v>
      </x:c>
      <x:c r="B9" s="35" t="n">
        <x:v>9.5</x:v>
      </x:c>
      <x:c r="C9" s="35" t="n">
        <x:v>3</x:v>
      </x:c>
      <x:c r="D9" s="35" t="n">
        <x:v>4</x:v>
      </x:c>
      <x:c r="E9" s="35" t="n">
        <x:v>7</x:v>
      </x:c>
      <x:c r="F9" s="39" t="n">
        <x:v>66.5</x:v>
      </x:c>
      <x:c r="G9" s="35" t="str">
        <x:v>C</x:v>
      </x:c>
      <x:c r="H9" s="35" t="n">
        <x:v>6</x:v>
      </x:c>
      <x:c r="I9" s="35" t="str">
        <x:v>https://www.reddit.com/r/starcraft2coop/comments/1vfmc3c/rewardtoeffort_commander_tier_list/</x:v>
      </x:c>
      <x:c r="J9" s="35" t="str">
        <x:v>Representative Diamondback is high-value but commander strength also depends on disposable infantry/system.</x:v>
      </x:c>
      <x:c r="L9" t="str">
        <x:f>A9</x:f>
        <x:v>Stukov</x:v>
      </x:c>
      <x:c r="M9" t="n">
        <x:f>F9</x:f>
        <x:v>66.5</x:v>
      </x:c>
    </x:row>
    <x:row r="10" ht="38" customHeight="1">
      <x:c r="A10" s="35" t="str">
        <x:v>Karax</x:v>
      </x:c>
      <x:c r="B10" s="35" t="n">
        <x:v>13.13</x:v>
      </x:c>
      <x:c r="C10" s="35" t="n">
        <x:v>3</x:v>
      </x:c>
      <x:c r="D10" s="35" t="n">
        <x:v>2</x:v>
      </x:c>
      <x:c r="E10" s="35" t="n">
        <x:v>5</x:v>
      </x:c>
      <x:c r="F10" s="39" t="n">
        <x:v>65.63</x:v>
      </x:c>
      <x:c r="G10" s="35" t="str">
        <x:v>C</x:v>
      </x:c>
      <x:c r="H10" s="35" t="n">
        <x:v>7</x:v>
      </x:c>
      <x:c r="I10" s="35" t="str">
        <x:v>https://www.reddit.com/r/starcraft2coop/comments/1vfmc3c/rewardtoeffort_commander_tier_list/</x:v>
      </x:c>
      <x:c r="J10" s="35" t="str">
        <x:v>Top-bar/economy/production effects are not represented by Colossus alone.</x:v>
      </x:c>
      <x:c r="L10" t="str">
        <x:f>A10</x:f>
        <x:v>Karax</x:v>
      </x:c>
      <x:c r="M10" t="n">
        <x:f>F10</x:f>
        <x:v>65.63</x:v>
      </x:c>
    </x:row>
    <x:row r="11" ht="38" customHeight="1">
      <x:c r="A11" s="35" t="str">
        <x:v>Stetmann</x:v>
      </x:c>
      <x:c r="B11" s="35" t="n">
        <x:v>12.58</x:v>
      </x:c>
      <x:c r="C11" s="35" t="n">
        <x:v>2</x:v>
      </x:c>
      <x:c r="D11" s="35" t="n">
        <x:v>3</x:v>
      </x:c>
      <x:c r="E11" s="35" t="n">
        <x:v>5</x:v>
      </x:c>
      <x:c r="F11" s="39" t="n">
        <x:v>62.92</x:v>
      </x:c>
      <x:c r="G11" s="35" t="str">
        <x:v>C</x:v>
      </x:c>
      <x:c r="H11" s="35" t="n">
        <x:v>8</x:v>
      </x:c>
      <x:c r="I11" s="35" t="str">
        <x:v>https://www.reddit.com/r/starcraft2coop/comments/1vfmc3c/rewardtoeffort_commander_tier_list/</x:v>
      </x:c>
      <x:c r="J11" s="35" t="str">
        <x:v>Satellite zones and Super Gary create major commander-level effects.</x:v>
      </x:c>
      <x:c r="L11" t="str">
        <x:f>A11</x:f>
        <x:v>Stetmann</x:v>
      </x:c>
      <x:c r="M11" t="n">
        <x:f>F11</x:f>
        <x:v>62.92</x:v>
      </x:c>
    </x:row>
    <x:row r="12" ht="38" customHeight="1">
      <x:c r="A12" s="35" t="str">
        <x:v>Nova</x:v>
      </x:c>
      <x:c r="B12" s="35" t="n">
        <x:v>10.38</x:v>
      </x:c>
      <x:c r="C12" s="35" t="n">
        <x:v>5</x:v>
      </x:c>
      <x:c r="D12" s="35" t="n">
        <x:v>1</x:v>
      </x:c>
      <x:c r="E12" s="35" t="n">
        <x:v>6</x:v>
      </x:c>
      <x:c r="F12" s="39" t="n">
        <x:v>62.25</x:v>
      </x:c>
      <x:c r="G12" s="35" t="str">
        <x:v>C</x:v>
      </x:c>
      <x:c r="H12" s="35" t="n">
        <x:v>9</x:v>
      </x:c>
      <x:c r="I12" s="35" t="str">
        <x:v>https://www.reddit.com/r/starcraft2coop/comments/1vfmc3c/rewardtoeffort_commander_tier_list/</x:v>
      </x:c>
      <x:c r="J12" s="35" t="str">
        <x:v>Elite units are strong, but high micro burden reduces reward-to-effort.</x:v>
      </x:c>
      <x:c r="L12" t="str">
        <x:f>A12</x:f>
        <x:v>Nova</x:v>
      </x:c>
      <x:c r="M12" t="n">
        <x:f>F12</x:f>
        <x:v>62.25</x:v>
      </x:c>
    </x:row>
    <x:row r="13" ht="38" customHeight="1">
      <x:c r="A13" s="35" t="str">
        <x:v>Zagara</x:v>
      </x:c>
      <x:c r="B13" s="35" t="n">
        <x:v>7.67</x:v>
      </x:c>
      <x:c r="C13" s="35" t="n">
        <x:v>3</x:v>
      </x:c>
      <x:c r="D13" s="35" t="n">
        <x:v>5</x:v>
      </x:c>
      <x:c r="E13" s="35" t="n">
        <x:v>8</x:v>
      </x:c>
      <x:c r="F13" s="39" t="n">
        <x:v>61.33</x:v>
      </x:c>
      <x:c r="G13" s="35" t="str">
        <x:v>C</x:v>
      </x:c>
      <x:c r="H13" s="35" t="n">
        <x:v>10</x:v>
      </x:c>
      <x:c r="I13" s="35" t="str">
        <x:v>https://www.reddit.com/r/starcraft2coop/comments/1vfmc3c/rewardtoeffort_commander_tier_list/</x:v>
      </x:c>
      <x:c r="J13" s="35" t="str">
        <x:v>Specialist commander; Baneling static DPS is not the correct metric.</x:v>
      </x:c>
      <x:c r="L13" t="str">
        <x:f>A13</x:f>
        <x:v>Zagara</x:v>
      </x:c>
      <x:c r="M13" t="n">
        <x:f>F13</x:f>
        <x:v>61.33</x:v>
      </x:c>
    </x:row>
    <x:row r="14" ht="38" customHeight="1">
      <x:c r="A14" s="35" t="str">
        <x:v>Abathur</x:v>
      </x:c>
      <x:c r="B14" s="35" t="n">
        <x:v>8.46</x:v>
      </x:c>
      <x:c r="C14" s="35" t="n">
        <x:v>3</x:v>
      </x:c>
      <x:c r="D14" s="35" t="n">
        <x:v>4</x:v>
      </x:c>
      <x:c r="E14" s="35" t="n">
        <x:v>7</x:v>
      </x:c>
      <x:c r="F14" s="39" t="n">
        <x:v>59.21</x:v>
      </x:c>
      <x:c r="G14" s="35" t="str">
        <x:v>C</x:v>
      </x:c>
      <x:c r="H14" s="35" t="n">
        <x:v>11</x:v>
      </x:c>
      <x:c r="I14" s="35" t="str">
        <x:v>https://www.reddit.com/r/starcraft2coop/comments/1vfmc3c/rewardtoeffort_commander_tier_list/</x:v>
      </x:c>
      <x:c r="J14" s="35" t="str">
        <x:v>Biomass evolution and Ultimate Evolutions dominate unit value.</x:v>
      </x:c>
      <x:c r="L14" t="str">
        <x:f>A14</x:f>
        <x:v>Abathur</x:v>
      </x:c>
      <x:c r="M14" t="n">
        <x:f>F14</x:f>
        <x:v>59.21</x:v>
      </x:c>
    </x:row>
    <x:row r="15" ht="38" customHeight="1">
      <x:c r="A15" s="35" t="str">
        <x:v>Fenix</x:v>
      </x:c>
      <x:c r="B15" s="35" t="n">
        <x:v>8.38</x:v>
      </x:c>
      <x:c r="C15" s="35" t="n">
        <x:v>2</x:v>
      </x:c>
      <x:c r="D15" s="35" t="n">
        <x:v>4</x:v>
      </x:c>
      <x:c r="E15" s="35" t="n">
        <x:v>6</x:v>
      </x:c>
      <x:c r="F15" s="39" t="n">
        <x:v>50.25</x:v>
      </x:c>
      <x:c r="G15" s="35" t="str">
        <x:v>D</x:v>
      </x:c>
      <x:c r="H15" s="35" t="n">
        <x:v>12</x:v>
      </x:c>
      <x:c r="I15" s="35" t="str">
        <x:v>https://www.reddit.com/r/starcraft2coop/comments/1vfmc3c/rewardtoeffort_commander_tier_list/</x:v>
      </x:c>
      <x:c r="J15" s="35" t="str">
        <x:v>Champion/suit system matters beyond Legionnaire panel.</x:v>
      </x:c>
      <x:c r="L15" t="str">
        <x:f>A15</x:f>
        <x:v>Fenix</x:v>
      </x:c>
      <x:c r="M15" t="n">
        <x:f>F15</x:f>
        <x:v>50.25</x:v>
      </x:c>
    </x:row>
    <x:row r="16" ht="38" customHeight="1">
      <x:c r="A16" s="35" t="str">
        <x:v>Artanis</x:v>
      </x:c>
      <x:c r="B16" s="35" t="n">
        <x:v>6.75</x:v>
      </x:c>
      <x:c r="C16" s="35" t="n">
        <x:v>4</x:v>
      </x:c>
      <x:c r="D16" s="35" t="n">
        <x:v>3</x:v>
      </x:c>
      <x:c r="E16" s="35" t="n">
        <x:v>7</x:v>
      </x:c>
      <x:c r="F16" s="39" t="n">
        <x:v>47.25</x:v>
      </x:c>
      <x:c r="G16" s="35" t="str">
        <x:v>D</x:v>
      </x:c>
      <x:c r="H16" s="35" t="n">
        <x:v>13</x:v>
      </x:c>
      <x:c r="I16" s="35" t="str">
        <x:v>https://www.reddit.com/r/starcraft2coop/comments/1vfmc3c/rewardtoeffort_commander_tier_list/</x:v>
      </x:c>
      <x:c r="J16" s="35" t="str">
        <x:v>Unit panel is close to neutral anchor; commander utility remains important.</x:v>
      </x:c>
      <x:c r="L16" t="str">
        <x:f>A16</x:f>
        <x:v>Artanis</x:v>
      </x:c>
      <x:c r="M16" t="n">
        <x:f>F16</x:f>
        <x:v>47.25</x:v>
      </x:c>
    </x:row>
    <x:row r="17" ht="38" customHeight="1">
      <x:c r="A17" s="35" t="str">
        <x:v>Vorazun</x:v>
      </x:c>
      <x:c r="B17" s="35" t="n">
        <x:v>6.29</x:v>
      </x:c>
      <x:c r="C17" s="35" t="n">
        <x:v>3</x:v>
      </x:c>
      <x:c r="D17" s="35" t="n">
        <x:v>4</x:v>
      </x:c>
      <x:c r="E17" s="35" t="n">
        <x:v>7</x:v>
      </x:c>
      <x:c r="F17" s="39" t="n">
        <x:v>44.04</x:v>
      </x:c>
      <x:c r="G17" s="35" t="str">
        <x:v>D</x:v>
      </x:c>
      <x:c r="H17" s="35" t="n">
        <x:v>14</x:v>
      </x:c>
      <x:c r="I17" s="35" t="str">
        <x:v>https://www.reddit.com/r/starcraft2coop/comments/1vfmc3c/rewardtoeffort_commander_tier_list/</x:v>
      </x:c>
      <x:c r="J17" s="35" t="str">
        <x:v>Specialist power concentrated in DT/Corsair/top-bar interactions.</x:v>
      </x:c>
      <x:c r="L17" t="str">
        <x:f>A17</x:f>
        <x:v>Vorazun</x:v>
      </x:c>
      <x:c r="M17" t="n">
        <x:f>F17</x:f>
        <x:v>44.04</x:v>
      </x:c>
    </x:row>
    <x:row r="18" ht="38" customHeight="1">
      <x:c r="A18" s="35" t="str">
        <x:v>Swann</x:v>
      </x:c>
      <x:c r="B18" s="35" t="n">
        <x:v>8.83</x:v>
      </x:c>
      <x:c r="C18" s="35" t="n">
        <x:v>2</x:v>
      </x:c>
      <x:c r="D18" s="35" t="n">
        <x:v>2</x:v>
      </x:c>
      <x:c r="E18" s="35" t="n">
        <x:v>4</x:v>
      </x:c>
      <x:c r="F18" s="39" t="n">
        <x:v>35.33</x:v>
      </x:c>
      <x:c r="G18" s="35" t="str">
        <x:v>E</x:v>
      </x:c>
      <x:c r="H18" s="35" t="n">
        <x:v>15</x:v>
      </x:c>
      <x:c r="I18" s="35" t="str">
        <x:v>https://www.reddit.com/r/starcraft2coop/comments/1vfmc3c/rewardtoeffort_commander_tier_list/</x:v>
      </x:c>
      <x:c r="J18" s="35" t="str">
        <x:v>Slow ramp and macro burden can suppress practical commander value.</x:v>
      </x:c>
      <x:c r="L18" t="str">
        <x:f>A18</x:f>
        <x:v>Swann</x:v>
      </x:c>
      <x:c r="M18" t="n">
        <x:f>F18</x:f>
        <x:v>35.33</x:v>
      </x:c>
    </x:row>
    <x:row r="19" ht="38" customHeight="1">
      <x:c r="A19" s="35" t="str">
        <x:v>Alarak</x:v>
      </x:c>
      <x:c r="B19" s="35" t="n">
        <x:v>8.79</x:v>
      </x:c>
      <x:c r="C19" s="35" t="n">
        <x:v>3</x:v>
      </x:c>
      <x:c r="D19" s="35" t="n">
        <x:v>1</x:v>
      </x:c>
      <x:c r="E19" s="35" t="n">
        <x:v>4</x:v>
      </x:c>
      <x:c r="F19" s="39" t="n">
        <x:v>35.17</x:v>
      </x:c>
      <x:c r="G19" s="35" t="str">
        <x:v>E</x:v>
      </x:c>
      <x:c r="H19" s="35" t="n">
        <x:v>16</x:v>
      </x:c>
      <x:c r="I19" s="35" t="str">
        <x:v>https://www.reddit.com/r/starcraft2coop/comments/1vfmc3c/rewardtoeffort_commander_tier_list/</x:v>
      </x:c>
      <x:c r="J19" s="35" t="str">
        <x:v>Very high micro/hero/system dependence makes unit panel misleading.</x:v>
      </x:c>
      <x:c r="L19" t="str">
        <x:f>A19</x:f>
        <x:v>Alarak</x:v>
      </x:c>
      <x:c r="M19" t="n">
        <x:f>F19</x:f>
        <x:v>35.17</x:v>
      </x:c>
    </x:row>
    <x:row r="20" ht="38" customHeight="1">
      <x:c r="A20" s="35" t="str">
        <x:v>Han &amp; Horner</x:v>
      </x:c>
      <x:c r="B20" s="35" t="n">
        <x:v>4.71</x:v>
      </x:c>
      <x:c r="C20" s="35" t="n">
        <x:v>3</x:v>
      </x:c>
      <x:c r="D20" s="35" t="n">
        <x:v>3</x:v>
      </x:c>
      <x:c r="E20" s="35" t="n">
        <x:v>6</x:v>
      </x:c>
      <x:c r="F20" s="39" t="n">
        <x:v>28.25</x:v>
      </x:c>
      <x:c r="G20" s="35" t="str">
        <x:v>F</x:v>
      </x:c>
      <x:c r="H20" s="35" t="n">
        <x:v>17</x:v>
      </x:c>
      <x:c r="I20" s="35" t="str">
        <x:v>https://www.reddit.com/r/starcraft2coop/comments/1vfmc3c/rewardtoeffort_commander_tier_list/</x:v>
      </x:c>
      <x:c r="J20" s="35" t="str">
        <x:v>Special production/air fleet systems need dedicated model.</x:v>
      </x:c>
      <x:c r="L20" t="str">
        <x:f>A20</x:f>
        <x:v>Han &amp; Horner</x:v>
      </x:c>
      <x:c r="M20" t="n">
        <x:f>F20</x:f>
        <x:v>28.25</x:v>
      </x:c>
    </x:row>
    <x:row r="21" ht="38" customHeight="1">
      <x:c r="A21" s="35" t="str">
        <x:v>Raynor</x:v>
      </x:c>
      <x:c r="B21" s="35" t="n">
        <x:v>4.21</x:v>
      </x:c>
      <x:c r="C21" s="35" t="n">
        <x:v>2</x:v>
      </x:c>
      <x:c r="D21" s="35" t="n">
        <x:v>4</x:v>
      </x:c>
      <x:c r="E21" s="35" t="n">
        <x:v>6</x:v>
      </x:c>
      <x:c r="F21" s="39" t="n">
        <x:v>25.25</x:v>
      </x:c>
      <x:c r="G21" s="35" t="str">
        <x:v>F</x:v>
      </x:c>
      <x:c r="H21" s="35" t="n">
        <x:v>18</x:v>
      </x:c>
      <x:c r="I21" s="35" t="str">
        <x:v>https://www.reddit.com/r/starcraft2coop/comments/1vfmc3c/rewardtoeffort_commander_tier_list/</x:v>
      </x:c>
      <x:c r="J21" s="35" t="str">
        <x:v>Weakest reward-to-effort anchor; community cites fragile MMM, heavy macro/mule/production burden.</x:v>
      </x:c>
      <x:c r="L21" t="str">
        <x:f>A21</x:f>
        <x:v>Raynor</x:v>
      </x:c>
      <x:c r="M21" t="n">
        <x:f>F21</x:f>
        <x:v>25.25</x:v>
      </x:c>
    </x:row>
    <x:row r="22" ht="38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</x:row>
    <x:row r="23">
      <x:c r="A23" s="38" t="str">
        <x:v>Source note</x:v>
      </x:c>
      <x:c r="B23" s="35" t="str">
        <x:v>2026 Reddit post published Aug 4, 2026; raw scores and ranks are reproduced for calibration, not treated as objective truth.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38" t="str">
        <x:v>Secondary evidence</x:v>
      </x:c>
      <x:c r="B24" s="35" t="str">
        <x:v>A separate 2026 subjective tier list evaluates early game, economy/tech timing, trade efficiency, late-game power, mobility/crisis management and micro/macro burden; its framing is different from the reward-to-effort list.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38" t="str">
        <x:v>Important</x:v>
      </x:c>
      <x:c r="B25" s="35" t="str">
        <x:v>Community tier is used only as a regression/validation target. It must not directly set unit prices or auto-generate balance changes.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1cf7a4529a4494c"/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0" hidden="0" customWidth="1"/>
    <x:col min="5" max="5" width="18" hidden="0" customWidth="1"/>
    <x:col min="6" max="6" width="14" hidden="0" customWidth="1"/>
    <x:col min="7" max="7" width="15" hidden="0" customWidth="1"/>
    <x:col min="8" max="8" width="30" hidden="0" customWidth="1"/>
    <x:col min="9" max="9" width="60" hidden="0" customWidth="1"/>
    <x:col min="10" max="10" width="34" hidden="0" customWidth="1"/>
    <x:col min="11" max="11" width="40" hidden="0" customWidth="1"/>
  </x:cols>
  <x:sheetData>
    <x:row r="1">
      <x:c r="A1" s="150" t="str">
        <x:v>V3.3 Regression Test — representative unit screen vs current community commander strength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M1" t="str">
        <x:v>Pearson r (supported units only)</x:v>
      </x:c>
      <x:c r="N1"/>
    </x:row>
    <x:row r="2">
      <x:c r="M2" t="n">
        <x:f>CORREL(M4:M19,N4:N19)</x:f>
        <x:v>-0.20300784739114344</x:v>
      </x:c>
    </x:row>
    <x:row r="3" ht="32" customHeight="1">
      <x:c r="A3" s="155" t="str">
        <x:v>Commander</x:v>
      </x:c>
      <x:c r="B3" s="155" t="str">
        <x:v>Representative Unit</x:v>
      </x:c>
      <x:c r="C3" s="155" t="str">
        <x:v>Unit Pre-Sim Score</x:v>
      </x:c>
      <x:c r="D3" s="155" t="str">
        <x:v>Unit Rank</x:v>
      </x:c>
      <x:c r="E3" s="155" t="str">
        <x:v>Community Reward Score</x:v>
      </x:c>
      <x:c r="F3" s="155" t="str">
        <x:v>Community Rank</x:v>
      </x:c>
      <x:c r="G3" s="155" t="str">
        <x:v>Rank Delta (Unit-Community)</x:v>
      </x:c>
      <x:c r="H3" s="155" t="str">
        <x:v>Gap Class</x:v>
      </x:c>
      <x:c r="I3" s="155" t="str">
        <x:v>Model Diagnosis</x:v>
      </x:c>
      <x:c r="J3" s="155" t="str">
        <x:v>Representative Unit Source</x:v>
      </x:c>
      <x:c r="K3" s="155" t="str">
        <x:v>Community Source</x:v>
      </x:c>
    </x:row>
    <x:row r="4" ht="38" customHeight="1">
      <x:c r="A4" s="35" t="str">
        <x:v>Zeratul</x:v>
      </x:c>
      <x:c r="B4" s="35" t="str">
        <x:v>Xel'Naga Ambusher</x:v>
      </x:c>
      <x:c r="C4" s="39" t="n">
        <x:v>0.7156271246098129</x:v>
      </x:c>
      <x:c r="D4" s="35" t="n">
        <x:v>10</x:v>
      </x:c>
      <x:c r="E4" s="39" t="n">
        <x:v>123.38</x:v>
      </x:c>
      <x:c r="F4" s="35" t="n">
        <x:v>1</x:v>
      </x:c>
      <x:c r="G4" s="156" t="n">
        <x:f>IF(D4="","",D4-F4)</x:f>
        <x:v>9</x:v>
      </x:c>
      <x:c r="H4" s="35" t="str">
        <x:v>COMMANDER SYSTEMS ADD POWER</x:v>
      </x:c>
      <x:c r="I4" s="35" t="str">
        <x:v>Representative unit understates commander; add hero/top-bar/economy/production/state/composition layer.</x:v>
      </x:c>
      <x:c r="J4" s="35"/>
      <x:c r="K4" s="35" t="str">
        <x:v>https://www.reddit.com/r/starcraft2coop/comments/1vfmc3c/rewardtoeffort_commander_tier_list/</x:v>
      </x:c>
      <x:c r="M4" t="n">
        <x:v>0.7156271246098129</x:v>
      </x:c>
      <x:c r="N4" t="n">
        <x:v>123.38</x:v>
      </x:c>
    </x:row>
    <x:row r="5" ht="38" customHeight="1">
      <x:c r="A5" s="35" t="str">
        <x:v>Tychus</x:v>
      </x:c>
      <x:c r="B5" s="35" t="str">
        <x:v>Nux</x:v>
      </x:c>
      <x:c r="C5" s="39"/>
      <x:c r="D5" s="35"/>
      <x:c r="E5" s="39" t="n">
        <x:v>100.13</x:v>
      </x:c>
      <x:c r="F5" s="35" t="n">
        <x:v>2</x:v>
      </x:c>
      <x:c r="G5" s="156" t="str">
        <x:f>IF(D5="","",D5-F5)</x:f>
      </x:c>
      <x:c r="H5" s="35" t="str">
        <x:v>UNSUPPORTED ARCHETYPE</x:v>
      </x:c>
      <x:c r="I5" s="35" t="str">
        <x:v>Need Commander/hero/air-capital model; do not infer unit balance from commander tier.</x:v>
      </x:c>
      <x:c r="J5" s="35"/>
      <x:c r="K5" s="35" t="str">
        <x:v>https://www.reddit.com/r/starcraft2coop/comments/1vfmc3c/rewardtoeffort_commander_tier_list/</x:v>
      </x:c>
      <x:c r="M5" t="n">
        <x:v>0.8758660130718955</x:v>
      </x:c>
      <x:c r="N5" t="n">
        <x:v>88.38</x:v>
      </x:c>
    </x:row>
    <x:row r="6" ht="38" customHeight="1">
      <x:c r="A6" s="35" t="str">
        <x:v>Dehaka</x:v>
      </x:c>
      <x:c r="B6" s="35" t="str">
        <x:v>Primal Hydralisk</x:v>
      </x:c>
      <x:c r="C6" s="39" t="n">
        <x:v>0.8758660130718955</x:v>
      </x:c>
      <x:c r="D6" s="35" t="n">
        <x:v>5</x:v>
      </x:c>
      <x:c r="E6" s="39" t="n">
        <x:v>88.38</x:v>
      </x:c>
      <x:c r="F6" s="35" t="n">
        <x:v>3</x:v>
      </x:c>
      <x:c r="G6" s="156" t="n">
        <x:f>IF(D6="","",D6-F6)</x:f>
        <x:v>2</x:v>
      </x:c>
      <x:c r="H6" s="35" t="str">
        <x:v>RELATIVELY CONSISTENT</x:v>
      </x:c>
      <x:c r="I6" s="35" t="str">
        <x:v>Unit screen is directionally compatible with commander-level result; still validate by scenarios.</x:v>
      </x:c>
      <x:c r="J6" s="35"/>
      <x:c r="K6" s="35" t="str">
        <x:v>https://www.reddit.com/r/starcraft2coop/comments/1vfmc3c/rewardtoeffort_commander_tier_list/</x:v>
      </x:c>
      <x:c r="M6" t="n">
        <x:v>0.3140160749928714</x:v>
      </x:c>
      <x:c r="N6" t="n">
        <x:v>79.5</x:v>
      </x:c>
    </x:row>
    <x:row r="7" ht="38" customHeight="1">
      <x:c r="A7" s="35" t="str">
        <x:v>Mengsk</x:v>
      </x:c>
      <x:c r="B7" s="35" t="str">
        <x:v>Aegis Guard</x:v>
      </x:c>
      <x:c r="C7" s="39" t="n">
        <x:v>0.3140160749928714</x:v>
      </x:c>
      <x:c r="D7" s="35" t="n">
        <x:v>15</x:v>
      </x:c>
      <x:c r="E7" s="39" t="n">
        <x:v>79.5</x:v>
      </x:c>
      <x:c r="F7" s="35" t="n">
        <x:v>4</x:v>
      </x:c>
      <x:c r="G7" s="156" t="n">
        <x:f>IF(D7="","",D7-F7)</x:f>
        <x:v>11</x:v>
      </x:c>
      <x:c r="H7" s="35" t="str">
        <x:v>COMMANDER SYSTEMS ADD POWER</x:v>
      </x:c>
      <x:c r="I7" s="35" t="str">
        <x:v>Representative unit understates commander; add hero/top-bar/economy/production/state/composition layer.</x:v>
      </x:c>
      <x:c r="J7" s="35"/>
      <x:c r="K7" s="35" t="str">
        <x:v>https://www.reddit.com/r/starcraft2coop/comments/1vfmc3c/rewardtoeffort_commander_tier_list/</x:v>
      </x:c>
      <x:c r="M7" t="n">
        <x:v>0.9124183006535947</x:v>
      </x:c>
      <x:c r="N7" t="n">
        <x:v>74.96</x:v>
      </x:c>
    </x:row>
    <x:row r="8" ht="38" customHeight="1">
      <x:c r="A8" s="35" t="str">
        <x:v>Kerrigan</x:v>
      </x:c>
      <x:c r="B8" s="35" t="str">
        <x:v>Hydralisk</x:v>
      </x:c>
      <x:c r="C8" s="39" t="n">
        <x:v>0.9124183006535947</x:v>
      </x:c>
      <x:c r="D8" s="35" t="n">
        <x:v>4</x:v>
      </x:c>
      <x:c r="E8" s="39" t="n">
        <x:v>74.96</x:v>
      </x:c>
      <x:c r="F8" s="35" t="n">
        <x:v>5</x:v>
      </x:c>
      <x:c r="G8" s="156" t="n">
        <x:f>IF(D8="","",D8-F8)</x:f>
        <x:v>-1</x:v>
      </x:c>
      <x:c r="H8" s="35" t="str">
        <x:v>RELATIVELY CONSISTENT</x:v>
      </x:c>
      <x:c r="I8" s="35" t="str">
        <x:v>Unit screen is directionally compatible with commander-level result; still validate by scenarios.</x:v>
      </x:c>
      <x:c r="J8" s="35"/>
      <x:c r="K8" s="35" t="str">
        <x:v>https://www.reddit.com/r/starcraft2coop/comments/1vfmc3c/rewardtoeffort_commander_tier_list/</x:v>
      </x:c>
      <x:c r="M8" t="n">
        <x:v>0.5164555559786617</x:v>
      </x:c>
      <x:c r="N8" t="n">
        <x:v>66.5</x:v>
      </x:c>
    </x:row>
    <x:row r="9" ht="38" customHeight="1">
      <x:c r="A9" s="35" t="str">
        <x:v>Stukov</x:v>
      </x:c>
      <x:c r="B9" s="35" t="str">
        <x:v>Infested Diamondback</x:v>
      </x:c>
      <x:c r="C9" s="39" t="n">
        <x:v>0.5164555559786617</x:v>
      </x:c>
      <x:c r="D9" s="35" t="n">
        <x:v>12</x:v>
      </x:c>
      <x:c r="E9" s="39" t="n">
        <x:v>66.5</x:v>
      </x:c>
      <x:c r="F9" s="35" t="n">
        <x:v>6</x:v>
      </x:c>
      <x:c r="G9" s="156" t="n">
        <x:f>IF(D9="","",D9-F9)</x:f>
        <x:v>6</x:v>
      </x:c>
      <x:c r="H9" s="35" t="str">
        <x:v>COMMANDER SYSTEMS ADD POWER</x:v>
      </x:c>
      <x:c r="I9" s="35" t="str">
        <x:v>Representative unit understates commander; add hero/top-bar/economy/production/state/composition layer.</x:v>
      </x:c>
      <x:c r="J9" s="35"/>
      <x:c r="K9" s="35" t="str">
        <x:v>https://www.reddit.com/r/starcraft2coop/comments/1vfmc3c/rewardtoeffort_commander_tier_list/</x:v>
      </x:c>
      <x:c r="M9" t="n">
        <x:v>0.708660522603202</x:v>
      </x:c>
      <x:c r="N9" t="n">
        <x:v>65.63</x:v>
      </x:c>
    </x:row>
    <x:row r="10" ht="38" customHeight="1">
      <x:c r="A10" s="35" t="str">
        <x:v>Karax</x:v>
      </x:c>
      <x:c r="B10" s="35" t="str">
        <x:v>Colossus</x:v>
      </x:c>
      <x:c r="C10" s="39" t="n">
        <x:v>0.708660522603202</x:v>
      </x:c>
      <x:c r="D10" s="35" t="n">
        <x:v>11</x:v>
      </x:c>
      <x:c r="E10" s="39" t="n">
        <x:v>65.63</x:v>
      </x:c>
      <x:c r="F10" s="35" t="n">
        <x:v>7</x:v>
      </x:c>
      <x:c r="G10" s="156" t="n">
        <x:f>IF(D10="","",D10-F10)</x:f>
        <x:v>4</x:v>
      </x:c>
      <x:c r="H10" s="35" t="str">
        <x:v>RELATIVELY CONSISTENT</x:v>
      </x:c>
      <x:c r="I10" s="35" t="str">
        <x:v>Unit screen is directionally compatible with commander-level result; still validate by scenarios.</x:v>
      </x:c>
      <x:c r="J10" s="35"/>
      <x:c r="K10" s="35" t="str">
        <x:v>https://www.reddit.com/r/starcraft2coop/comments/1vfmc3c/rewardtoeffort_commander_tier_list/</x:v>
      </x:c>
      <x:c r="M10" t="n">
        <x:v>0.8679738562091502</x:v>
      </x:c>
      <x:c r="N10" t="n">
        <x:v>62.92</x:v>
      </x:c>
    </x:row>
    <x:row r="11" ht="38" customHeight="1">
      <x:c r="A11" s="35" t="str">
        <x:v>Stetmann</x:v>
      </x:c>
      <x:c r="B11" s="35" t="str">
        <x:v>Mecha Hydralisk</x:v>
      </x:c>
      <x:c r="C11" s="39" t="n">
        <x:v>0.8679738562091502</x:v>
      </x:c>
      <x:c r="D11" s="35" t="n">
        <x:v>7</x:v>
      </x:c>
      <x:c r="E11" s="39" t="n">
        <x:v>62.92</x:v>
      </x:c>
      <x:c r="F11" s="35" t="n">
        <x:v>8</x:v>
      </x:c>
      <x:c r="G11" s="156" t="n">
        <x:f>IF(D11="","",D11-F11)</x:f>
        <x:v>-1</x:v>
      </x:c>
      <x:c r="H11" s="35" t="str">
        <x:v>RELATIVELY CONSISTENT</x:v>
      </x:c>
      <x:c r="I11" s="35" t="str">
        <x:v>Unit screen is directionally compatible with commander-level result; still validate by scenarios.</x:v>
      </x:c>
      <x:c r="J11" s="35"/>
      <x:c r="K11" s="35" t="str">
        <x:v>https://www.reddit.com/r/starcraft2coop/comments/1vfmc3c/rewardtoeffort_commander_tier_list/</x:v>
      </x:c>
      <x:c r="M11" t="n">
        <x:v>0.2903893045164866</x:v>
      </x:c>
      <x:c r="N11" t="n">
        <x:v>62.25</x:v>
      </x:c>
    </x:row>
    <x:row r="12" ht="38" customHeight="1">
      <x:c r="A12" s="35" t="str">
        <x:v>Nova</x:v>
      </x:c>
      <x:c r="B12" s="35" t="str">
        <x:v>Elite Marine</x:v>
      </x:c>
      <x:c r="C12" s="39" t="n">
        <x:v>0.2903893045164866</x:v>
      </x:c>
      <x:c r="D12" s="35" t="n">
        <x:v>16</x:v>
      </x:c>
      <x:c r="E12" s="39" t="n">
        <x:v>62.25</x:v>
      </x:c>
      <x:c r="F12" s="35" t="n">
        <x:v>9</x:v>
      </x:c>
      <x:c r="G12" s="156" t="n">
        <x:f>IF(D12="","",D12-F12)</x:f>
        <x:v>7</x:v>
      </x:c>
      <x:c r="H12" s="35" t="str">
        <x:v>COMMANDER SYSTEMS ADD POWER</x:v>
      </x:c>
      <x:c r="I12" s="35" t="str">
        <x:v>Representative unit understates commander; add hero/top-bar/economy/production/state/composition layer.</x:v>
      </x:c>
      <x:c r="J12" s="35"/>
      <x:c r="K12" s="35" t="str">
        <x:v>https://www.reddit.com/r/starcraft2coop/comments/1vfmc3c/rewardtoeffort_commander_tier_list/</x:v>
      </x:c>
      <x:c r="M12" t="n">
        <x:v>0.4573721618459498</x:v>
      </x:c>
      <x:c r="N12" t="n">
        <x:v>61.33</x:v>
      </x:c>
    </x:row>
    <x:row r="13" ht="38" customHeight="1">
      <x:c r="A13" s="35" t="str">
        <x:v>Zagara</x:v>
      </x:c>
      <x:c r="B13" s="35" t="str">
        <x:v>Baneling</x:v>
      </x:c>
      <x:c r="C13" s="39" t="n">
        <x:v>0.4573721618459498</x:v>
      </x:c>
      <x:c r="D13" s="35" t="n">
        <x:v>13</x:v>
      </x:c>
      <x:c r="E13" s="39" t="n">
        <x:v>61.33</x:v>
      </x:c>
      <x:c r="F13" s="35" t="n">
        <x:v>10</x:v>
      </x:c>
      <x:c r="G13" s="156" t="n">
        <x:f>IF(D13="","",D13-F13)</x:f>
        <x:v>3</x:v>
      </x:c>
      <x:c r="H13" s="35" t="str">
        <x:v>RELATIVELY CONSISTENT</x:v>
      </x:c>
      <x:c r="I13" s="35" t="str">
        <x:v>Unit screen is directionally compatible with commander-level result; still validate by scenarios.</x:v>
      </x:c>
      <x:c r="J13" s="35"/>
      <x:c r="K13" s="35" t="str">
        <x:v>https://www.reddit.com/r/starcraft2coop/comments/1vfmc3c/rewardtoeffort_commander_tier_list/</x:v>
      </x:c>
      <x:c r="M13" t="n">
        <x:v>0.9511801242236024</x:v>
      </x:c>
      <x:c r="N13" t="n">
        <x:v>59.21</x:v>
      </x:c>
    </x:row>
    <x:row r="14" ht="38" customHeight="1">
      <x:c r="A14" s="35" t="str">
        <x:v>Abathur</x:v>
      </x:c>
      <x:c r="B14" s="35" t="str">
        <x:v>Roach</x:v>
      </x:c>
      <x:c r="C14" s="39" t="n">
        <x:v>0.9511801242236024</x:v>
      </x:c>
      <x:c r="D14" s="35" t="n">
        <x:v>2</x:v>
      </x:c>
      <x:c r="E14" s="39" t="n">
        <x:v>59.21</x:v>
      </x:c>
      <x:c r="F14" s="35" t="n">
        <x:v>11</x:v>
      </x:c>
      <x:c r="G14" s="156" t="n">
        <x:f>IF(D14="","",D14-F14)</x:f>
        <x:v>-9</x:v>
      </x:c>
      <x:c r="H14" s="35" t="str">
        <x:v>COMMANDER SYSTEMS SUBTRACT PRACTICAL VALUE</x:v>
      </x:c>
      <x:c r="I14" s="35" t="str">
        <x:v>Representative unit overstates commander; inspect fragility, production throughput, macro load, micro burden, timing and map dependence.</x:v>
      </x:c>
      <x:c r="J14" s="35"/>
      <x:c r="K14" s="35" t="str">
        <x:v>https://www.reddit.com/r/starcraft2coop/comments/1vfmc3c/rewardtoeffort_commander_tier_list/</x:v>
      </x:c>
      <x:c r="M14" t="n">
        <x:v>0.8359074809753342</x:v>
      </x:c>
      <x:c r="N14" t="n">
        <x:v>50.25</x:v>
      </x:c>
    </x:row>
    <x:row r="15" ht="38" customHeight="1">
      <x:c r="A15" s="35" t="str">
        <x:v>Fenix</x:v>
      </x:c>
      <x:c r="B15" s="35" t="str">
        <x:v>Legionnaire</x:v>
      </x:c>
      <x:c r="C15" s="39" t="n">
        <x:v>0.8359074809753342</x:v>
      </x:c>
      <x:c r="D15" s="35" t="n">
        <x:v>9</x:v>
      </x:c>
      <x:c r="E15" s="39" t="n">
        <x:v>50.25</x:v>
      </x:c>
      <x:c r="F15" s="35" t="n">
        <x:v>12</x:v>
      </x:c>
      <x:c r="G15" s="156" t="n">
        <x:f>IF(D15="","",D15-F15)</x:f>
        <x:v>-3</x:v>
      </x:c>
      <x:c r="H15" s="35" t="str">
        <x:v>RELATIVELY CONSISTENT</x:v>
      </x:c>
      <x:c r="I15" s="35" t="str">
        <x:v>Unit screen is directionally compatible with commander-level result; still validate by scenarios.</x:v>
      </x:c>
      <x:c r="J15" s="35"/>
      <x:c r="K15" s="35" t="str">
        <x:v>https://www.reddit.com/r/starcraft2coop/comments/1vfmc3c/rewardtoeffort_commander_tier_list/</x:v>
      </x:c>
      <x:c r="M15" t="n">
        <x:v>0.9773292439555993</x:v>
      </x:c>
      <x:c r="N15" t="n">
        <x:v>47.25</x:v>
      </x:c>
    </x:row>
    <x:row r="16" ht="38" customHeight="1">
      <x:c r="A16" s="35" t="str">
        <x:v>Artanis</x:v>
      </x:c>
      <x:c r="B16" s="35" t="str">
        <x:v>Dragoon</x:v>
      </x:c>
      <x:c r="C16" s="39" t="n">
        <x:v>0.9773292439555993</x:v>
      </x:c>
      <x:c r="D16" s="35" t="n">
        <x:v>1</x:v>
      </x:c>
      <x:c r="E16" s="39" t="n">
        <x:v>47.25</x:v>
      </x:c>
      <x:c r="F16" s="35" t="n">
        <x:v>13</x:v>
      </x:c>
      <x:c r="G16" s="156" t="n">
        <x:f>IF(D16="","",D16-F16)</x:f>
        <x:v>-12</x:v>
      </x:c>
      <x:c r="H16" s="35" t="str">
        <x:v>COMMANDER SYSTEMS SUBTRACT PRACTICAL VALUE</x:v>
      </x:c>
      <x:c r="I16" s="35" t="str">
        <x:v>Representative unit overstates commander; inspect fragility, production throughput, macro load, micro burden, timing and map dependence.</x:v>
      </x:c>
      <x:c r="J16" s="35"/>
      <x:c r="K16" s="35" t="str">
        <x:v>https://www.reddit.com/r/starcraft2coop/comments/1vfmc3c/rewardtoeffort_commander_tier_list/</x:v>
      </x:c>
      <x:c r="M16" t="n">
        <x:v>0.4110319660140577</x:v>
      </x:c>
      <x:c r="N16" t="n">
        <x:v>44.04</x:v>
      </x:c>
    </x:row>
    <x:row r="17" ht="38" customHeight="1">
      <x:c r="A17" s="35" t="str">
        <x:v>Vorazun</x:v>
      </x:c>
      <x:c r="B17" s="35" t="str">
        <x:v>Dark Templar</x:v>
      </x:c>
      <x:c r="C17" s="39" t="n">
        <x:v>0.4110319660140577</x:v>
      </x:c>
      <x:c r="D17" s="35" t="n">
        <x:v>14</x:v>
      </x:c>
      <x:c r="E17" s="39" t="n">
        <x:v>44.04</x:v>
      </x:c>
      <x:c r="F17" s="35" t="n">
        <x:v>14</x:v>
      </x:c>
      <x:c r="G17" s="156" t="n">
        <x:f>IF(D17="","",D17-F17)</x:f>
        <x:v>0</x:v>
      </x:c>
      <x:c r="H17" s="35" t="str">
        <x:v>RELATIVELY CONSISTENT</x:v>
      </x:c>
      <x:c r="I17" s="35" t="str">
        <x:v>Unit screen is directionally compatible with commander-level result; still validate by scenarios.</x:v>
      </x:c>
      <x:c r="J17" s="35"/>
      <x:c r="K17" s="35" t="str">
        <x:v>https://www.reddit.com/r/starcraft2coop/comments/1vfmc3c/rewardtoeffort_commander_tier_list/</x:v>
      </x:c>
      <x:c r="M17" t="n">
        <x:v>0.8467376380105306</x:v>
      </x:c>
      <x:c r="N17" t="n">
        <x:v>35.33</x:v>
      </x:c>
    </x:row>
    <x:row r="18" ht="38" customHeight="1">
      <x:c r="A18" s="35" t="str">
        <x:v>Swann</x:v>
      </x:c>
      <x:c r="B18" s="35" t="str">
        <x:v>Goliath</x:v>
      </x:c>
      <x:c r="C18" s="39" t="n">
        <x:v>0.8467376380105306</x:v>
      </x:c>
      <x:c r="D18" s="35" t="n">
        <x:v>8</x:v>
      </x:c>
      <x:c r="E18" s="39" t="n">
        <x:v>35.33</x:v>
      </x:c>
      <x:c r="F18" s="35" t="n">
        <x:v>15</x:v>
      </x:c>
      <x:c r="G18" s="156" t="n">
        <x:f>IF(D18="","",D18-F18)</x:f>
        <x:v>-7</x:v>
      </x:c>
      <x:c r="H18" s="35" t="str">
        <x:v>COMMANDER SYSTEMS SUBTRACT PRACTICAL VALUE</x:v>
      </x:c>
      <x:c r="I18" s="35" t="str">
        <x:v>Representative unit overstates commander; inspect fragility, production throughput, macro load, micro burden, timing and map dependence.</x:v>
      </x:c>
      <x:c r="J18" s="35"/>
      <x:c r="K18" s="35" t="str">
        <x:v>https://www.reddit.com/r/starcraft2coop/comments/1vfmc3c/rewardtoeffort_commander_tier_list/</x:v>
      </x:c>
      <x:c r="M18" t="n">
        <x:v>0.8745574571811695</x:v>
      </x:c>
      <x:c r="N18" t="n">
        <x:v>35.17</x:v>
      </x:c>
    </x:row>
    <x:row r="19" ht="38" customHeight="1">
      <x:c r="A19" s="35" t="str">
        <x:v>Alarak</x:v>
      </x:c>
      <x:c r="B19" s="35" t="str">
        <x:v>Slayer</x:v>
      </x:c>
      <x:c r="C19" s="39" t="n">
        <x:v>0.8745574571811695</x:v>
      </x:c>
      <x:c r="D19" s="35" t="n">
        <x:v>6</x:v>
      </x:c>
      <x:c r="E19" s="39" t="n">
        <x:v>35.17</x:v>
      </x:c>
      <x:c r="F19" s="35" t="n">
        <x:v>16</x:v>
      </x:c>
      <x:c r="G19" s="156" t="n">
        <x:f>IF(D19="","",D19-F19)</x:f>
        <x:v>-10</x:v>
      </x:c>
      <x:c r="H19" s="35" t="str">
        <x:v>COMMANDER SYSTEMS SUBTRACT PRACTICAL VALUE</x:v>
      </x:c>
      <x:c r="I19" s="35" t="str">
        <x:v>Representative unit overstates commander; inspect fragility, production throughput, macro load, micro burden, timing and map dependence.</x:v>
      </x:c>
      <x:c r="J19" s="35"/>
      <x:c r="K19" s="35" t="str">
        <x:v>https://www.reddit.com/r/starcraft2coop/comments/1vfmc3c/rewardtoeffort_commander_tier_list/</x:v>
      </x:c>
      <x:c r="M19" t="n">
        <x:v>0.9364285714285714</x:v>
      </x:c>
      <x:c r="N19" t="n">
        <x:v>25.25</x:v>
      </x:c>
    </x:row>
    <x:row r="20" ht="38" customHeight="1">
      <x:c r="A20" s="35" t="str">
        <x:v>Han &amp; Horner</x:v>
      </x:c>
      <x:c r="B20" s="35" t="str">
        <x:v>—</x:v>
      </x:c>
      <x:c r="C20" s="39"/>
      <x:c r="D20" s="35"/>
      <x:c r="E20" s="39" t="n">
        <x:v>28.25</x:v>
      </x:c>
      <x:c r="F20" s="35" t="n">
        <x:v>17</x:v>
      </x:c>
      <x:c r="G20" s="156" t="str">
        <x:f>IF(D20="","",D20-F20)</x:f>
      </x:c>
      <x:c r="H20" s="35" t="str">
        <x:v>UNSUPPORTED ARCHETYPE</x:v>
      </x:c>
      <x:c r="I20" s="35" t="str">
        <x:v>Need Commander/hero/air-capital model; do not infer unit balance from commander tier.</x:v>
      </x:c>
      <x:c r="J20" s="35" t="str">
        <x:v>—</x:v>
      </x:c>
      <x:c r="K20" s="35" t="str">
        <x:v>https://www.reddit.com/r/starcraft2coop/comments/1vfmc3c/rewardtoeffort_commander_tier_list/</x:v>
      </x:c>
    </x:row>
    <x:row r="21" ht="38" customHeight="1">
      <x:c r="A21" s="35" t="str">
        <x:v>Raynor</x:v>
      </x:c>
      <x:c r="B21" s="35" t="str">
        <x:v>Marine</x:v>
      </x:c>
      <x:c r="C21" s="39" t="n">
        <x:v>0.9364285714285714</x:v>
      </x:c>
      <x:c r="D21" s="35" t="n">
        <x:v>3</x:v>
      </x:c>
      <x:c r="E21" s="39" t="n">
        <x:v>25.25</x:v>
      </x:c>
      <x:c r="F21" s="35" t="n">
        <x:v>18</x:v>
      </x:c>
      <x:c r="G21" s="156" t="n">
        <x:f>IF(D21="","",D21-F21)</x:f>
        <x:v>-15</x:v>
      </x:c>
      <x:c r="H21" s="35" t="str">
        <x:v>COMMANDER SYSTEMS SUBTRACT PRACTICAL VALUE</x:v>
      </x:c>
      <x:c r="I21" s="35" t="str">
        <x:v>Representative unit overstates commander; inspect fragility, production throughput, macro load, micro burden, timing and map dependence.</x:v>
      </x:c>
      <x:c r="J21" s="35"/>
      <x:c r="K21" s="35" t="str">
        <x:v>https://www.reddit.com/r/starcraft2coop/comments/1vfmc3c/rewardtoeffort_commander_tier_list/</x:v>
      </x:c>
    </x:row>
    <x:row r="22" ht="38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</x:row>
  </x:sheetData>
  <x:mergeCells>
    <x:mergeCell ref="A1:K1"/>
  </x:mergeCells>
  <x:conditionalFormatting sqref="G4:G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4" hidden="0" customWidth="1"/>
    <x:col min="6" max="6" width="16" hidden="0" customWidth="1"/>
    <x:col min="7" max="7" width="24" hidden="0" customWidth="1"/>
    <x:col min="8" max="8" width="60" hidden="0" customWidth="1"/>
    <x:col min="3" max="3" width="3" hidden="0" customWidth="1"/>
  </x:cols>
  <x:sheetData>
    <x:row r="1">
      <x:c r="A1" s="150" t="str">
        <x:v>V3.3 Dashboard — Community Calibration &amp; Commander Layer</x:v>
      </x:c>
      <x:c r="B1" s="150"/>
      <x:c r="C1" s="150"/>
      <x:c r="D1" s="150"/>
      <x:c r="E1" s="150"/>
      <x:c r="F1" s="150"/>
      <x:c r="G1" s="150"/>
      <x:c r="H1" s="150"/>
    </x:row>
    <x:row r="3">
      <x:c r="A3" s="155" t="str">
        <x:v>Metric</x:v>
      </x:c>
      <x:c r="B3" s="155" t="str">
        <x:v>Value</x:v>
      </x:c>
      <x:c r="C3" s="35"/>
      <x:c r="D3" s="155" t="str">
        <x:v>Commander</x:v>
      </x:c>
      <x:c r="E3" s="155" t="str">
        <x:v>Unit Score</x:v>
      </x:c>
      <x:c r="F3" s="155" t="str">
        <x:v>Community Score</x:v>
      </x:c>
      <x:c r="G3" s="155" t="str">
        <x:v>Gap Class</x:v>
      </x:c>
      <x:c r="H3" s="155" t="str">
        <x:v>Diagnosis</x:v>
      </x:c>
    </x:row>
    <x:row r="4">
      <x:c r="A4" s="35" t="str">
        <x:v>Community reference entries</x:v>
      </x:c>
      <x:c r="B4" s="35" t="n">
        <x:v>18</x:v>
      </x:c>
      <x:c r="C4" s="35"/>
      <x:c r="D4" s="35" t="str">
        <x:f>'V33_Regression'!A4</x:f>
        <x:v>Zeratul</x:v>
      </x:c>
      <x:c r="E4" s="35" t="n">
        <x:f>IF('V33_Regression'!C4="","",'V33_Regression'!C4)</x:f>
        <x:v>0.7156271246098129</x:v>
      </x:c>
      <x:c r="F4" s="35" t="n">
        <x:f>'V33_Regression'!E4</x:f>
        <x:v>123.38</x:v>
      </x:c>
      <x:c r="G4" s="35" t="str">
        <x:f>'V33_Regression'!H4</x:f>
        <x:v>COMMANDER SYSTEMS ADD POWER</x:v>
      </x:c>
      <x:c r="H4" s="35" t="str">
        <x:f>'V33_Regression'!I4</x:f>
        <x:v>Representative unit understates commander; add hero/top-bar/economy/production/state/composition layer.</x:v>
      </x:c>
    </x:row>
    <x:row r="5">
      <x:c r="A5" s="35" t="str">
        <x:v>Supported representative units</x:v>
      </x:c>
      <x:c r="B5" s="35" t="n">
        <x:v>16</x:v>
      </x:c>
      <x:c r="C5" s="35"/>
      <x:c r="D5" s="35" t="str">
        <x:f>'V33_Regression'!A5</x:f>
        <x:v>Tychus</x:v>
      </x:c>
      <x:c r="E5" s="35" t="str">
        <x:f>IF('V33_Regression'!C5="","",'V33_Regression'!C5)</x:f>
      </x:c>
      <x:c r="F5" s="35" t="n">
        <x:f>'V33_Regression'!E5</x:f>
        <x:v>100.13</x:v>
      </x:c>
      <x:c r="G5" s="35" t="str">
        <x:f>'V33_Regression'!H5</x:f>
        <x:v>UNSUPPORTED ARCHETYPE</x:v>
      </x:c>
      <x:c r="H5" s="35" t="str">
        <x:f>'V33_Regression'!I5</x:f>
        <x:v>Need Commander/hero/air-capital model; do not infer unit balance from commander tier.</x:v>
      </x:c>
    </x:row>
    <x:row r="6">
      <x:c r="A6" s="35" t="str">
        <x:v>Unsupported archetypes</x:v>
      </x:c>
      <x:c r="B6" s="35" t="n">
        <x:v>2</x:v>
      </x:c>
      <x:c r="C6" s="35"/>
      <x:c r="D6" s="35" t="str">
        <x:f>'V33_Regression'!A6</x:f>
        <x:v>Dehaka</x:v>
      </x:c>
      <x:c r="E6" s="35" t="n">
        <x:f>IF('V33_Regression'!C6="","",'V33_Regression'!C6)</x:f>
        <x:v>0.8758660130718955</x:v>
      </x:c>
      <x:c r="F6" s="35" t="n">
        <x:f>'V33_Regression'!E6</x:f>
        <x:v>88.38</x:v>
      </x:c>
      <x:c r="G6" s="35" t="str">
        <x:f>'V33_Regression'!H6</x:f>
        <x:v>RELATIVELY CONSISTENT</x:v>
      </x:c>
      <x:c r="H6" s="35" t="str">
        <x:f>'V33_Regression'!I6</x:f>
        <x:v>Unit screen is directionally compatible with commander-level result; still validate by scenarios.</x:v>
      </x:c>
    </x:row>
    <x:row r="7">
      <x:c r="A7" s="35" t="str">
        <x:v>Unit-vs-community Pearson r</x:v>
      </x:c>
      <x:c r="B7" s="79" t="n">
        <x:f>'V33_Regression'!M2</x:f>
        <x:v>-0.20300784739114344</x:v>
      </x:c>
      <x:c r="C7" s="35"/>
      <x:c r="D7" s="35" t="str">
        <x:f>'V33_Regression'!A7</x:f>
        <x:v>Mengsk</x:v>
      </x:c>
      <x:c r="E7" s="35" t="n">
        <x:f>IF('V33_Regression'!C7="","",'V33_Regression'!C7)</x:f>
        <x:v>0.3140160749928714</x:v>
      </x:c>
      <x:c r="F7" s="35" t="n">
        <x:f>'V33_Regression'!E7</x:f>
        <x:v>79.5</x:v>
      </x:c>
      <x:c r="G7" s="35" t="str">
        <x:f>'V33_Regression'!H7</x:f>
        <x:v>COMMANDER SYSTEMS ADD POWER</x:v>
      </x:c>
      <x:c r="H7" s="35" t="str">
        <x:f>'V33_Regression'!I7</x:f>
        <x:v>Representative unit understates commander; add hero/top-bar/economy/production/state/composition layer.</x:v>
      </x:c>
    </x:row>
    <x:row r="8">
      <x:c r="A8" s="35" t="str">
        <x:v>Strongest positive rank gap</x:v>
      </x:c>
      <x:c r="B8" s="35" t="str">
        <x:v>Mengsk / Nova / Dehaka class</x:v>
      </x:c>
      <x:c r="C8" s="35"/>
      <x:c r="D8" s="35" t="str">
        <x:f>'V33_Regression'!A8</x:f>
        <x:v>Kerrigan</x:v>
      </x:c>
      <x:c r="E8" s="35" t="n">
        <x:f>IF('V33_Regression'!C8="","",'V33_Regression'!C8)</x:f>
        <x:v>0.9124183006535947</x:v>
      </x:c>
      <x:c r="F8" s="35" t="n">
        <x:f>'V33_Regression'!E8</x:f>
        <x:v>74.96</x:v>
      </x:c>
      <x:c r="G8" s="35" t="str">
        <x:f>'V33_Regression'!H8</x:f>
        <x:v>RELATIVELY CONSISTENT</x:v>
      </x:c>
      <x:c r="H8" s="35" t="str">
        <x:f>'V33_Regression'!I8</x:f>
        <x:v>Unit screen is directionally compatible with commander-level result; still validate by scenarios.</x:v>
      </x:c>
    </x:row>
    <x:row r="9">
      <x:c r="A9" s="35" t="str">
        <x:v>Strongest negative rank gap</x:v>
      </x:c>
      <x:c r="B9" s="35" t="str">
        <x:v>Raynor / Artanis / Abathur class</x:v>
      </x:c>
      <x:c r="C9" s="35"/>
      <x:c r="D9" s="35" t="str">
        <x:f>'V33_Regression'!A9</x:f>
        <x:v>Stukov</x:v>
      </x:c>
      <x:c r="E9" s="35" t="n">
        <x:f>IF('V33_Regression'!C9="","",'V33_Regression'!C9)</x:f>
        <x:v>0.5164555559786617</x:v>
      </x:c>
      <x:c r="F9" s="35" t="n">
        <x:f>'V33_Regression'!E9</x:f>
        <x:v>66.5</x:v>
      </x:c>
      <x:c r="G9" s="35" t="str">
        <x:f>'V33_Regression'!H9</x:f>
        <x:v>COMMANDER SYSTEMS ADD POWER</x:v>
      </x:c>
      <x:c r="H9" s="35" t="str">
        <x:f>'V33_Regression'!I9</x:f>
        <x:v>Representative unit understates commander; add hero/top-bar/economy/production/state/composition layer.</x:v>
      </x:c>
    </x:row>
    <x:row r="10">
      <x:c r="A10" s="35" t="str">
        <x:v>Automatic balance changes allowed</x:v>
      </x:c>
      <x:c r="B10" s="35" t="n">
        <x:v>0</x:v>
      </x:c>
      <x:c r="C10" s="35"/>
      <x:c r="D10" s="35" t="str">
        <x:f>'V33_Regression'!A10</x:f>
        <x:v>Karax</x:v>
      </x:c>
      <x:c r="E10" s="35" t="n">
        <x:f>IF('V33_Regression'!C10="","",'V33_Regression'!C10)</x:f>
        <x:v>0.708660522603202</x:v>
      </x:c>
      <x:c r="F10" s="35" t="n">
        <x:f>'V33_Regression'!E10</x:f>
        <x:v>65.63</x:v>
      </x:c>
      <x:c r="G10" s="35" t="str">
        <x:f>'V33_Regression'!H10</x:f>
        <x:v>RELATIVELY CONSISTENT</x:v>
      </x:c>
      <x:c r="H10" s="35" t="str">
        <x:f>'V33_Regression'!I10</x:f>
        <x:v>Unit screen is directionally compatible with commander-level result; still validate by scenarios.</x:v>
      </x:c>
    </x:row>
    <x:row r="11">
      <x:c r="A11" s="35"/>
      <x:c r="B11" s="35"/>
      <x:c r="C11" s="35"/>
      <x:c r="D11" s="35" t="str">
        <x:f>'V33_Regression'!A11</x:f>
        <x:v>Stetmann</x:v>
      </x:c>
      <x:c r="E11" s="35" t="n">
        <x:f>IF('V33_Regression'!C11="","",'V33_Regression'!C11)</x:f>
        <x:v>0.8679738562091502</x:v>
      </x:c>
      <x:c r="F11" s="35" t="n">
        <x:f>'V33_Regression'!E11</x:f>
        <x:v>62.92</x:v>
      </x:c>
      <x:c r="G11" s="35" t="str">
        <x:f>'V33_Regression'!H11</x:f>
        <x:v>RELATIVELY CONSISTENT</x:v>
      </x:c>
      <x:c r="H11" s="35" t="str">
        <x:f>'V33_Regression'!I11</x:f>
        <x:v>Unit screen is directionally compatible with commander-level result; still validate by scenarios.</x:v>
      </x:c>
    </x:row>
    <x:row r="12">
      <x:c r="A12" s="159" t="str">
        <x:v>Key conclusion</x:v>
      </x:c>
      <x:c r="B12" s="159"/>
      <x:c r="C12" s="159"/>
      <x:c r="D12" s="159" t="str">
        <x:f>'V33_Regression'!A12</x:f>
        <x:v>Nova</x:v>
      </x:c>
      <x:c r="E12" s="159" t="n">
        <x:f>IF('V33_Regression'!C12="","",'V33_Regression'!C12)</x:f>
        <x:v>0.2903893045164866</x:v>
      </x:c>
      <x:c r="F12" s="159" t="n">
        <x:f>'V33_Regression'!E12</x:f>
        <x:v>62.25</x:v>
      </x:c>
      <x:c r="G12" s="159" t="str">
        <x:f>'V33_Regression'!H12</x:f>
        <x:v>COMMANDER SYSTEMS ADD POWER</x:v>
      </x:c>
      <x:c r="H12" s="159" t="str">
        <x:f>'V33_Regression'!I12</x:f>
        <x:v>Representative unit understates commander; add hero/top-bar/economy/production/state/composition layer.</x:v>
      </x:c>
    </x:row>
    <x:row r="13">
      <x:c r="A13" s="35" t="str">
        <x:v>Representative unit score is NOT a proxy for commander power.</x:v>
      </x:c>
      <x:c r="B13" s="35"/>
      <x:c r="C13" s="35"/>
      <x:c r="D13" s="35" t="str">
        <x:f>'V33_Regression'!A13</x:f>
        <x:v>Zagara</x:v>
      </x:c>
      <x:c r="E13" s="35" t="n">
        <x:f>IF('V33_Regression'!C13="","",'V33_Regression'!C13)</x:f>
        <x:v>0.4573721618459498</x:v>
      </x:c>
      <x:c r="F13" s="35" t="n">
        <x:f>'V33_Regression'!E13</x:f>
        <x:v>61.33</x:v>
      </x:c>
      <x:c r="G13" s="35" t="str">
        <x:f>'V33_Regression'!H13</x:f>
        <x:v>RELATIVELY CONSISTENT</x:v>
      </x:c>
      <x:c r="H13" s="35" t="str">
        <x:f>'V33_Regression'!I13</x:f>
        <x:v>Unit screen is directionally compatible with commander-level result; still validate by scenarios.</x:v>
      </x:c>
    </x:row>
    <x:row r="14">
      <x:c r="A14" s="35" t="str">
        <x:v>Raynor is the critical negative control: Marine screen is near-neutral, yet community commander rank is last.</x:v>
      </x:c>
      <x:c r="B14" s="35"/>
      <x:c r="C14" s="35"/>
      <x:c r="D14" s="35" t="str">
        <x:f>'V33_Regression'!A14</x:f>
        <x:v>Abathur</x:v>
      </x:c>
      <x:c r="E14" s="35" t="n">
        <x:f>IF('V33_Regression'!C14="","",'V33_Regression'!C14)</x:f>
        <x:v>0.9511801242236024</x:v>
      </x:c>
      <x:c r="F14" s="35" t="n">
        <x:f>'V33_Regression'!E14</x:f>
        <x:v>59.21</x:v>
      </x:c>
      <x:c r="G14" s="35" t="str">
        <x:f>'V33_Regression'!H14</x:f>
        <x:v>COMMANDER SYSTEMS SUBTRACT PRACTICAL VALUE</x:v>
      </x:c>
      <x:c r="H14" s="35" t="str">
        <x:f>'V33_Regression'!I14</x:f>
        <x:v>Representative unit overstates commander; inspect fragility, production throughput, macro load, micro burden, timing and map dependence.</x:v>
      </x:c>
    </x:row>
    <x:row r="15">
      <x:c r="A15" s="35" t="str">
        <x:v>Dehaka is a critical positive control: Primal Hydralisk screen is below neutral, yet commander rank is top-3.</x:v>
      </x:c>
      <x:c r="B15" s="35"/>
      <x:c r="C15" s="35"/>
      <x:c r="D15" s="35" t="str">
        <x:f>'V33_Regression'!A15</x:f>
        <x:v>Fenix</x:v>
      </x:c>
      <x:c r="E15" s="35" t="n">
        <x:f>IF('V33_Regression'!C15="","",'V33_Regression'!C15)</x:f>
        <x:v>0.8359074809753342</x:v>
      </x:c>
      <x:c r="F15" s="35" t="n">
        <x:f>'V33_Regression'!E15</x:f>
        <x:v>50.25</x:v>
      </x:c>
      <x:c r="G15" s="35" t="str">
        <x:f>'V33_Regression'!H15</x:f>
        <x:v>RELATIVELY CONSISTENT</x:v>
      </x:c>
      <x:c r="H15" s="35" t="str">
        <x:f>'V33_Regression'!I15</x:f>
        <x:v>Unit screen is directionally compatible with commander-level result; still validate by scenarios.</x:v>
      </x:c>
    </x:row>
    <x:row r="16">
      <x:c r="A16" s="35" t="str">
        <x:v>Therefore V3.3 must add Commander Layer rather than forcing unit values to explain commander tier.</x:v>
      </x:c>
      <x:c r="B16" s="35"/>
      <x:c r="C16" s="35"/>
      <x:c r="D16" s="35" t="str">
        <x:f>'V33_Regression'!A16</x:f>
        <x:v>Artanis</x:v>
      </x:c>
      <x:c r="E16" s="35" t="n">
        <x:f>IF('V33_Regression'!C16="","",'V33_Regression'!C16)</x:f>
        <x:v>0.9773292439555993</x:v>
      </x:c>
      <x:c r="F16" s="35" t="n">
        <x:f>'V33_Regression'!E16</x:f>
        <x:v>47.25</x:v>
      </x:c>
      <x:c r="G16" s="35" t="str">
        <x:f>'V33_Regression'!H16</x:f>
        <x:v>COMMANDER SYSTEMS SUBTRACT PRACTICAL VALUE</x:v>
      </x:c>
      <x:c r="H16" s="35" t="str">
        <x:f>'V33_Regression'!I16</x:f>
        <x:v>Representative unit overstates commander; inspect fragility, production throughput, macro load, micro burden, timing and map dependence.</x:v>
      </x:c>
    </x:row>
    <x:row r="17">
      <x:c r="A17" s="35"/>
      <x:c r="B17" s="35"/>
      <x:c r="C17" s="35"/>
      <x:c r="D17" s="35" t="str">
        <x:f>'V33_Regression'!A17</x:f>
        <x:v>Vorazun</x:v>
      </x:c>
      <x:c r="E17" s="35" t="n">
        <x:f>IF('V33_Regression'!C17="","",'V33_Regression'!C17)</x:f>
        <x:v>0.4110319660140577</x:v>
      </x:c>
      <x:c r="F17" s="35" t="n">
        <x:f>'V33_Regression'!E17</x:f>
        <x:v>44.04</x:v>
      </x:c>
      <x:c r="G17" s="35" t="str">
        <x:f>'V33_Regression'!H17</x:f>
        <x:v>RELATIVELY CONSISTENT</x:v>
      </x:c>
      <x:c r="H17" s="35" t="str">
        <x:f>'V33_Regression'!I17</x:f>
        <x:v>Unit screen is directionally compatible with commander-level result; still validate by scenarios.</x:v>
      </x:c>
    </x:row>
    <x:row r="18">
      <x:c r="A18" s="35"/>
      <x:c r="B18" s="35"/>
      <x:c r="C18" s="35"/>
      <x:c r="D18" s="35" t="str">
        <x:f>'V33_Regression'!A18</x:f>
        <x:v>Swann</x:v>
      </x:c>
      <x:c r="E18" s="35" t="n">
        <x:f>IF('V33_Regression'!C18="","",'V33_Regression'!C18)</x:f>
        <x:v>0.8467376380105306</x:v>
      </x:c>
      <x:c r="F18" s="35" t="n">
        <x:f>'V33_Regression'!E18</x:f>
        <x:v>35.33</x:v>
      </x:c>
      <x:c r="G18" s="35" t="str">
        <x:f>'V33_Regression'!H18</x:f>
        <x:v>COMMANDER SYSTEMS SUBTRACT PRACTICAL VALUE</x:v>
      </x:c>
      <x:c r="H18" s="35" t="str">
        <x:f>'V33_Regression'!I18</x:f>
        <x:v>Representative unit overstates commander; inspect fragility, production throughput, macro load, micro burden, timing and map dependence.</x:v>
      </x:c>
    </x:row>
    <x:row r="19">
      <x:c r="A19" s="35"/>
      <x:c r="B19" s="35"/>
      <x:c r="C19" s="35"/>
      <x:c r="D19" s="35" t="str">
        <x:f>'V33_Regression'!A19</x:f>
        <x:v>Alarak</x:v>
      </x:c>
      <x:c r="E19" s="35" t="n">
        <x:f>IF('V33_Regression'!C19="","",'V33_Regression'!C19)</x:f>
        <x:v>0.8745574571811695</x:v>
      </x:c>
      <x:c r="F19" s="35" t="n">
        <x:f>'V33_Regression'!E19</x:f>
        <x:v>35.17</x:v>
      </x:c>
      <x:c r="G19" s="35" t="str">
        <x:f>'V33_Regression'!H19</x:f>
        <x:v>COMMANDER SYSTEMS SUBTRACT PRACTICAL VALUE</x:v>
      </x:c>
      <x:c r="H19" s="35" t="str">
        <x:f>'V33_Regression'!I19</x:f>
        <x:v>Representative unit overstates commander; inspect fragility, production throughput, macro load, micro burden, timing and map dependence.</x:v>
      </x:c>
    </x:row>
    <x:row r="20">
      <x:c r="A20" s="35"/>
      <x:c r="B20" s="35"/>
      <x:c r="C20" s="35"/>
      <x:c r="D20" s="35" t="str">
        <x:f>'V33_Regression'!A20</x:f>
        <x:v>Han &amp; Horner</x:v>
      </x:c>
      <x:c r="E20" s="35" t="str">
        <x:f>IF('V33_Regression'!C20="","",'V33_Regression'!C20)</x:f>
      </x:c>
      <x:c r="F20" s="35" t="n">
        <x:f>'V33_Regression'!E20</x:f>
        <x:v>28.25</x:v>
      </x:c>
      <x:c r="G20" s="35" t="str">
        <x:f>'V33_Regression'!H20</x:f>
        <x:v>UNSUPPORTED ARCHETYPE</x:v>
      </x:c>
      <x:c r="H20" s="35" t="str">
        <x:f>'V33_Regression'!I20</x:f>
        <x:v>Need Commander/hero/air-capital model; do not infer unit balance from commander tier.</x:v>
      </x:c>
    </x:row>
    <x:row r="21">
      <x:c r="A21" s="35"/>
      <x:c r="B21" s="35"/>
      <x:c r="C21" s="35"/>
      <x:c r="D21" s="35" t="str">
        <x:f>'V33_Regression'!A21</x:f>
        <x:v>Raynor</x:v>
      </x:c>
      <x:c r="E21" s="35" t="n">
        <x:f>IF('V33_Regression'!C21="","",'V33_Regression'!C21)</x:f>
        <x:v>0.9364285714285714</x:v>
      </x:c>
      <x:c r="F21" s="35" t="n">
        <x:f>'V33_Regression'!E21</x:f>
        <x:v>25.25</x:v>
      </x:c>
      <x:c r="G21" s="35" t="str">
        <x:f>'V33_Regression'!H21</x:f>
        <x:v>COMMANDER SYSTEMS SUBTRACT PRACTICAL VALUE</x:v>
      </x:c>
      <x:c r="H21" s="35" t="str">
        <x:f>'V33_Regression'!I21</x:f>
        <x:v>Representative unit overstates commander; inspect fragility, production throughput, macro load, micro burden, timing and map dependence.</x:v>
      </x:c>
    </x:row>
  </x:sheetData>
  <x:mergeCells>
    <x:mergeCell ref="A1:H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8" hidden="0" customWidth="1"/>
    <x:col min="4" max="4" width="42" hidden="0" customWidth="1"/>
    <x:col min="5" max="5" width="42" hidden="0" customWidth="1"/>
    <x:col min="6" max="6" width="36" hidden="0" customWidth="1"/>
  </x:cols>
  <x:sheetData>
    <x:row r="1">
      <x:c r="A1" s="150" t="str">
        <x:v>V3.3 Calibration Principles</x:v>
      </x:c>
      <x:c r="B1" s="150"/>
      <x:c r="C1" s="150"/>
      <x:c r="D1" s="150"/>
      <x:c r="E1" s="150"/>
      <x:c r="F1" s="150"/>
    </x:row>
    <x:row r="3">
      <x:c r="A3" s="155" t="str">
        <x:v>Principle</x:v>
      </x:c>
      <x:c r="B3" s="155" t="str">
        <x:v>Rule</x:v>
      </x:c>
      <x:c r="C3" s="155" t="str">
        <x:v>Reason</x:v>
      </x:c>
      <x:c r="D3" s="155" t="str">
        <x:v>Raynor signal</x:v>
      </x:c>
      <x:c r="E3" s="155" t="str">
        <x:v>High-power signal</x:v>
      </x:c>
      <x:c r="F3" s="155" t="str">
        <x:v>Implementation</x:v>
      </x:c>
    </x:row>
    <x:row r="4">
      <x:c r="A4" s="35" t="str">
        <x:v>Commander tier is a validation target, not unit label</x:v>
      </x:c>
      <x:c r="B4" s="35" t="str">
        <x:v>Do not fit every unit to commander tier</x:v>
      </x:c>
      <x:c r="C4" s="35" t="str">
        <x:v>A strong commander can contain weak units and vice versa</x:v>
      </x:c>
      <x:c r="D4" s="35" t="str">
        <x:v>Raynor's Marine screen is near 1.0 while commander rank is 18</x:v>
      </x:c>
      <x:c r="E4" s="35" t="str">
        <x:v>Dehaka's Hydralisk screen is &lt;1.0 while commander rank is 3</x:v>
      </x:c>
      <x:c r="F4" s="35" t="str">
        <x:v>Add commander layer</x:v>
      </x:c>
    </x:row>
    <x:row r="5">
      <x:c r="A5" s="35" t="str">
        <x:v>Production/economy matter at commander scale</x:v>
      </x:c>
      <x:c r="B5" s="35" t="str">
        <x:v>Model throughput, MULE/econ, charge, tech timing</x:v>
      </x:c>
      <x:c r="C5" s="35" t="str">
        <x:v>Practical power depends on replacement and timing</x:v>
      </x:c>
      <x:c r="D5" s="35" t="str">
        <x:v>Community cites MULE/macro and fragile MMM burden</x:v>
      </x:c>
      <x:c r="E5" s="35" t="str">
        <x:v>Zeratul/Dehaka have efficient system power</x:v>
      </x:c>
      <x:c r="F5" s="35" t="str">
        <x:v>Add production/economy scenario set</x:v>
      </x:c>
    </x:row>
    <x:row r="6">
      <x:c r="A6" s="35" t="str">
        <x:v>Micro burden is not a free unit bonus</x:v>
      </x:c>
      <x:c r="B6" s="35" t="str">
        <x:v>Track required actions / failure penalty separately</x:v>
      </x:c>
      <x:c r="C6" s="35" t="str">
        <x:v>Reward-to-effort list explicitly includes effort</x:v>
      </x:c>
      <x:c r="D6" s="35" t="str">
        <x:v>Raynor and Nova suffer different control burdens</x:v>
      </x:c>
      <x:c r="E6" s="35" t="str">
        <x:v>Zeratul gains power from low macro burden</x:v>
      </x:c>
      <x:c r="F6" s="35" t="str">
        <x:v>Add optional commander usability modifier</x:v>
      </x:c>
    </x:row>
    <x:row r="7">
      <x:c r="A7" s="35" t="str">
        <x:v>Specialization requires scenario labels</x:v>
      </x:c>
      <x:c r="B7" s="35" t="str">
        <x:v>High scenario score should be acceptable for a specialist</x:v>
      </x:c>
      <x:c r="C7" s="35" t="str">
        <x:v>Avoid false positives</x:v>
      </x:c>
      <x:c r="D7" s="35" t="str">
        <x:v>Raynor weak mainly in sustained fragile bio/AA issues</x:v>
      </x:c>
      <x:c r="E7" s="35" t="str">
        <x:v>Vorazun DT strong in assassination/stealth</x:v>
      </x:c>
      <x:c r="F7" s="35" t="str">
        <x:v>Use scenario distribution, not global average</x:v>
      </x:c>
    </x:row>
    <x:row r="8">
      <x:c r="A8" s="35" t="str">
        <x:v>Community evidence is calibration, not ground truth</x:v>
      </x:c>
      <x:c r="B8" s="35" t="str">
        <x:v>Use multiple sources and replay/simulation validation</x:v>
      </x:c>
      <x:c r="C8" s="35" t="str">
        <x:v>Community opinions are noisy and prestige-dependent</x:v>
      </x:c>
      <x:c r="D8" s="35" t="str">
        <x:v>Recent community still places Raynor last in reward-to-effort</x:v>
      </x:c>
      <x:c r="E8" s="35" t="str">
        <x:v>Recent community places Zeratul/Dehaka near top</x:v>
      </x:c>
      <x:c r="F8" s="35" t="str">
        <x:v>Track evidence count + confidence</x:v>
      </x:c>
    </x:row>
    <x:row r="9">
      <x:c r="A9" s="35" t="str">
        <x:v>Next model release</x:v>
      </x:c>
      <x:c r="B9" s="35" t="str">
        <x:v>V3.4 = Commander Layer + scenario outcomes</x:v>
      </x:c>
      <x:c r="C9" s="35" t="str">
        <x:v>Unit model should remain reusable for custom commanders</x:v>
      </x:c>
      <x:c r="D9" s="35" t="str">
        <x:v>Raynor negative-control regression</x:v>
      </x:c>
      <x:c r="E9" s="35" t="str">
        <x:v>Zeratul/Dehaka positive-control regression</x:v>
      </x:c>
      <x:c r="F9" s="35" t="str">
        <x:v>No auto-adjustments before sim</x:v>
      </x:c>
    </x:row>
  </x:sheetData>
  <x:mergeCells>
    <x:mergeCell ref="A1:F1"/>
  </x:mergeCells>
  <x:pageMargins left="0.7" right="0.7" top="0.75" bottom="0.75" header="0.3" footer="0.3"/>
</x:worksheet>
</file>